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-down 專案列表" sheetId="1" r:id="rId3"/>
    <sheet state="visible" name="Venue Map 各專案位置圖" sheetId="2" r:id="rId4"/>
    <sheet state="visible" name="資金池投票連結-投票到1530" sheetId="3" r:id="rId5"/>
  </sheets>
  <definedNames/>
  <calcPr/>
</workbook>
</file>

<file path=xl/sharedStrings.xml><?xml version="1.0" encoding="utf-8"?>
<sst xmlns="http://schemas.openxmlformats.org/spreadsheetml/2006/main" count="449" uniqueCount="272">
  <si>
    <t>發表時間
Time</t>
  </si>
  <si>
    <t>完成</t>
  </si>
  <si>
    <t>發表者
Presenter</t>
  </si>
  <si>
    <t>提案形式
Form</t>
  </si>
  <si>
    <t>錄影以 CC-BY 釋出？
Can we record and release the video (cc-by) ?</t>
  </si>
  <si>
    <r>
      <rPr>
        <b/>
        <sz val="8.0"/>
      </rPr>
      <t>是否參加零世代資金池計畫，目前總獎金 NT$10000 / Are you participating in the Generation Zero Funding Pool Program? The current total prize is NT$10,000.</t>
    </r>
    <r>
      <rPr>
        <b/>
        <sz val="10.0"/>
      </rPr>
      <t xml:space="preserve">
</t>
    </r>
    <r>
      <rPr>
        <b/>
        <color rgb="FF1155CC"/>
        <sz val="8.0"/>
      </rPr>
      <t>https://g0v.hackmd.io/@jothon/Generation_Zero_Vestment</t>
    </r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</si>
  <si>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</si>
  <si>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</si>
  <si>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</si>
  <si>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</si>
  <si>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</si>
  <si>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</si>
  <si>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</si>
  <si>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</si>
  <si>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Project Lead Contact Info</t>
  </si>
  <si>
    <t>youtube url: 專案報告 或是 預錄影片</t>
  </si>
  <si>
    <t>youtube url: 成果報告</t>
  </si>
  <si>
    <t>youtube title</t>
  </si>
  <si>
    <t>09:00【飲料與限量早餐】🥤🌮🥪 Drinks &amp; Breakfast (Limited quantity, priority will be given to participants who arrive in a rush.)</t>
  </si>
  <si>
    <t>臺北場地
T
a
i
p
e
i</t>
  </si>
  <si>
    <t>．冰國寶茶（無咖啡因）
Iced Rooibos Tea (Caffeine-Free)
．冰紅茶 – Iced Black Tea
．冰咖啡 – Iced Coffee
．鮮奶茶 – Fresh Milk Tea</t>
  </si>
  <si>
    <t>熱壓吐司們 Hot-pressed toast：
．玉米起司蛋（蛋奶素） – Corn, Cheese &amp; Egg (Lacto-Ovo Vegetarian)
．奶酥火腿 – Condensed Milk Butter with Ham
．花生醬鮪魚 – Peanut Butter &amp; Tuna
．燻雞起司 – Smoked Chicken &amp; Cheese
早鳥吃吐司 (口味多樣)、無調味腰果</t>
  </si>
  <si>
    <t>All drinks are unsweetened and iced. 
Feel free to add honey on-site if you'd like — thanks to Tiff for sharing her homemade honey!
and don’t forget to bring a reusable cup!
飲料皆為無糖冷飲，有需要可以現場自己加蜂蜜 (感謝 Tiff 分享自家產製的蜂蜜!) ~ 也請大家記得帶環保杯來裝飲料！</t>
  </si>
  <si>
    <t>09:30 Event Introduction and Important Reminders 開場介紹與 g0v 行為守則提醒
09:35 Beginner Tutorial Session Time 新手教學</t>
  </si>
  <si>
    <t>揪松團</t>
  </si>
  <si>
    <t>in person 實體出席</t>
  </si>
  <si>
    <t>Y</t>
  </si>
  <si>
    <t>-</t>
  </si>
  <si>
    <t>g0v 黑客松</t>
  </si>
  <si>
    <t>活動介紹與 g0v 行為守則事項提醒
Event Introduction and Important Reminders</t>
  </si>
  <si>
    <t>https://docs.google.com/presentation/d/17b0aW78LaaTDCbQWt52gIZYyehhfE9WXoODRyexrUHo/edit?usp=sharing</t>
  </si>
  <si>
    <t>零時小學校</t>
  </si>
  <si>
    <t>新手教學時間 Beginner Tutorial Session Time 
也歡迎參加 g0v 新手村
認識與貢獻群眾協力型專案、認識線上課程資源、帶你來提案線上課程</t>
  </si>
  <si>
    <t>https://sch001.g0v.tw/</t>
  </si>
  <si>
    <t>零世代資金池 Generation Zero Vestment</t>
  </si>
  <si>
    <t>零世代資金池計畫說明與本次參加團隊簡介 Vestment &amp; Vantage: Adding Value for Gen Zero!</t>
  </si>
  <si>
    <t>CC-by</t>
  </si>
  <si>
    <t>https://g0v.hackmd.io/@jothon/Generation_Zero_Vestment</t>
  </si>
  <si>
    <t>09:50 Proposal Time 【提案時間】每個 present 3min，提案、徵人。</t>
  </si>
  <si>
    <t>＊無法實體出席者，建議以預錄影片提案。並將提案影片連結填在欄位「Q：youtube url 或是 預錄影片」
＊Please place the URL of the pre-recorded video file in column Q</t>
  </si>
  <si>
    <t>AI Literacy AI 素養交流聚會</t>
  </si>
  <si>
    <t>N</t>
  </si>
  <si>
    <t>https://docs.google.com/presentation/d/1jQw2XxapzC8ZTATVrk7GO0P-vZoqbo4gMv2077pUkcY/edit?usp=sharing</t>
  </si>
  <si>
    <t>AI 素養、負責任使用 AI</t>
  </si>
  <si>
    <t>g0v Slack #ai-learning</t>
  </si>
  <si>
    <t>Dennis</t>
  </si>
  <si>
    <t>pre-recorded videos 預錄影片</t>
  </si>
  <si>
    <t>OpenStreetMap x Wikidata</t>
  </si>
  <si>
    <t>大家來貢獻開放內容，畫地圖與建立維基數據資料</t>
  </si>
  <si>
    <t>CC-BY-SA or CC0</t>
  </si>
  <si>
    <r>
      <rPr>
        <rFont val="arial,sans,sans-serif"/>
        <color rgb="FF1155CC"/>
        <u/>
      </rPr>
      <t>https://wikidata.org</t>
    </r>
    <r>
      <rPr>
        <rFont val="arial,sans,sans-serif"/>
      </rPr>
      <t xml:space="preserve"> </t>
    </r>
    <r>
      <rPr>
        <rFont val="arial,sans,sans-serif"/>
        <color rgb="FF1155CC"/>
        <u/>
      </rPr>
      <t>https://www.openstreetmap.org</t>
    </r>
  </si>
  <si>
    <t>https://hackmd.io/@osm-tw/rJiFDnlt1g#/</t>
  </si>
  <si>
    <t>OpenStreetMap, Wikidata, Open content</t>
  </si>
  <si>
    <t>資料庫、地圖或是資料整理</t>
  </si>
  <si>
    <t>g0v Slack #wikidatataiwan, #gis</t>
  </si>
  <si>
    <t>https://youtube.com/live/rf9TLjqA9YE</t>
  </si>
  <si>
    <t>A4</t>
  </si>
  <si>
    <t>沒有人罷免指南</t>
  </si>
  <si>
    <t>集中整理罷免經驗的文字記錄</t>
  </si>
  <si>
    <t>https://g0v.hackmd.io/inVTfFKdR1KMD292SU8LQA</t>
  </si>
  <si>
    <t>罷免行動、經驗傳承</t>
  </si>
  <si>
    <t>- 會打字願意同編的人
- 願意協助散撥專案訊息的人</t>
  </si>
  <si>
    <t>bil</t>
  </si>
  <si>
    <t>Cofacts 真的假的</t>
  </si>
  <si>
    <t xml:space="preserve">Cofacts 真的假的 </t>
  </si>
  <si>
    <t>程式 MIT, 
內容 CC-BY-SA</t>
  </si>
  <si>
    <t>https://cofacts.tw/hack</t>
  </si>
  <si>
    <t>https://docs.google.com/presentation/d/10VRulY_MFMZK4wQNPN6Yjm8N8S9_wi-K1vUwelicwiQ/edit?slide=id.g3554883af0e_1_8#slide=id.g3554883af0e_1_8</t>
  </si>
  <si>
    <t>程式開發、事實查核、搜尋引擎最佳化</t>
  </si>
  <si>
    <t>會 Google 找資料的人
會 NodeJS / ReactJS 的人
SEO 高手、UI / UX Designer</t>
  </si>
  <si>
    <t>g0v slack #cofacts @mrorz @bil</t>
  </si>
  <si>
    <t>chewei</t>
  </si>
  <si>
    <r>
      <rPr>
        <sz val="10.0"/>
      </rPr>
      <t xml:space="preserve">Y </t>
    </r>
    <r>
      <rPr>
        <sz val="7.0"/>
      </rPr>
      <t>(目前四位成員有兩位為35歲以下)</t>
    </r>
  </si>
  <si>
    <t>零時小學校 &amp; 學校就學人口推估</t>
  </si>
  <si>
    <t>歡迎跳坑推估全國學校(國小國中高中職)就學人口 &amp; 零時小學校_暑假源力增能營籌備中</t>
  </si>
  <si>
    <t>cc-by</t>
  </si>
  <si>
    <t>https://g0v.hackmd.io/TG6CtrxyRdudWawzTXfPiw?view</t>
  </si>
  <si>
    <t>https://maps.app.goo.gl/zrZRjUGzmKQhwhee7</t>
  </si>
  <si>
    <t>臺灣小學生, 國中生與高中生, 2040</t>
  </si>
  <si>
    <t>關心2040年國小國中高中還在不在的朋友, 學校的未來, 未來的學習型態</t>
  </si>
  <si>
    <t>g0v Slack #edu-school-學校存續議題</t>
  </si>
  <si>
    <t>ronny</t>
  </si>
  <si>
    <t>y</t>
  </si>
  <si>
    <t>g0v 國會松</t>
  </si>
  <si>
    <t>https://s.g0v.tw/congressthon</t>
  </si>
  <si>
    <t>https://docs.google.com/presentation/d/12MJYLcHw1STGwb3OQdfwNYKPEYxt74XjiqySdL-Zkec/edit?slide=id.p#slide=id.p</t>
  </si>
  <si>
    <t>denkeni</t>
  </si>
  <si>
    <r>
      <t xml:space="preserve">N </t>
    </r>
    <r>
      <rPr>
        <sz val="8.0"/>
      </rPr>
      <t>(太老QAQ)</t>
    </r>
  </si>
  <si>
    <t>Green Sofa 綠沙發社群</t>
  </si>
  <si>
    <t>簡單介紹 Green Sofa 社群以及我們為何可以贊助這次的大松，錢從何來？</t>
  </si>
  <si>
    <t>https://hackmd.io/@greensofa/home</t>
  </si>
  <si>
    <t>https://docs.denkeni.org/qf-tw</t>
  </si>
  <si>
    <t>FAB DAO、Green Pill、公共財募資</t>
  </si>
  <si>
    <t>g0v Slack #web3-da0 @denkeni 、Swift Evo</t>
  </si>
  <si>
    <t>ichieh</t>
  </si>
  <si>
    <t>n</t>
  </si>
  <si>
    <t>公務人員的公民科技體驗營</t>
  </si>
  <si>
    <t>一起來想把公務員推入坑的 100 種方法</t>
  </si>
  <si>
    <t>https://hackmd.io/@ejc/pushpush</t>
  </si>
  <si>
    <t>https://gamma.app/docs/-3te8ajr5quzt5ql</t>
  </si>
  <si>
    <t>公務員、公民科技、生成式AI</t>
  </si>
  <si>
    <t>好多好多公務員跟想來幫忙一起解題的大家</t>
  </si>
  <si>
    <t>g0v slack ichieh
watercooleraichat@gmail.com</t>
  </si>
  <si>
    <t>Toomore</t>
  </si>
  <si>
    <t>匿名網路工作坊</t>
  </si>
  <si>
    <t>預計在 2025/08 舉辦匿名網路工作坊活動，針對 Tor/Tails、OONI 工具提供給公民團體、新聞媒體、獨立記者使用。需協助整理教材、手冊與培訓。</t>
  </si>
  <si>
    <t>https://ooni-research.ocf.tw/docs/event-workshop-2025/</t>
  </si>
  <si>
    <t>https://docs.google.com/presentation/d/1vonxH016BKVcEgSqZk4PvUVhwscXf1Jz75h24HWDOjc/edit?usp=sharing</t>
  </si>
  <si>
    <t>匿名網路、獨立記者、助教培訓</t>
  </si>
  <si>
    <r>
      <rPr/>
      <t xml:space="preserve">協助中文化工具、工作坊活動工作人員、參與培訓。專案連結包含技能分級表，可先自評確認能力，後續會培訓到 L3 的等級。完成至少 20 份議程討論問卷： </t>
    </r>
    <r>
      <rPr>
        <color rgb="FF1155CC"/>
        <u/>
      </rPr>
      <t>https://formbricks.toomore.net/s/cmaxjo2p40000o10131byw3do</t>
    </r>
  </si>
  <si>
    <r>
      <rPr/>
      <t xml:space="preserve">Toomore &lt;toomore@ocf.tw&gt;
Contact: </t>
    </r>
    <r>
      <rPr>
        <color rgb="FF1155CC"/>
        <u/>
      </rPr>
      <t>https://ooni-research.ocf.tw/docs/contact/</t>
    </r>
  </si>
  <si>
    <t>環境正義基金會</t>
  </si>
  <si>
    <t>政府四大基金投資的氣候風險</t>
  </si>
  <si>
    <t>介紹專案，邀請大家協作資料整理、一起發想創意的倡議方式</t>
  </si>
  <si>
    <t>https://ejfoundation.org/resources/downloads/Taiwan-public-funds-divestment-2024.pdf</t>
  </si>
  <si>
    <t>https://www.canva.com/design/DAGoWOaxYmU/HQLs88HtP1jW_O43cSM_yA/edit?utm_content=DAGoWOaxYmU&amp;utm_campaign=designshare&amp;utm_medium=link2&amp;utm_source=sharebutton</t>
  </si>
  <si>
    <t>四大基金、氣候變遷、財務損失</t>
  </si>
  <si>
    <t>熟悉open data,熟悉財金/股市/投資的夥伴, 關心氣候正義</t>
  </si>
  <si>
    <t>tingyu.chen@ejfoundation.org</t>
  </si>
  <si>
    <t>Barry&amp;Ashly</t>
  </si>
  <si>
    <t>app社交工程</t>
  </si>
  <si>
    <t>https://docs.google.com/presentation/d/1RFmxjubfIaFT_6B6Lo9JqFBNJgZG8ow6davvAgLm82A/edit?slide=id.g35b1113712e_0_93#slide=id.g35b1113712e_0_93</t>
  </si>
  <si>
    <t>https://g0v.hackmd.io/@BarryYu/H1oT2Ozayg</t>
  </si>
  <si>
    <t xml:space="preserve"> 資安駭客就是詐騙首腦</t>
  </si>
  <si>
    <t>AIMU</t>
  </si>
  <si>
    <t>Biz×Tech</t>
  </si>
  <si>
    <t>促進商業與工程大學生合作推動公民科技的平臺</t>
  </si>
  <si>
    <t>https://www.notion.so/g0vhackathon-1fdac6b5b8d8806ea6cfd9288994f183?pvs=4</t>
  </si>
  <si>
    <t>https://gamma.app/docs/Biz-Tech-hwfn76a1ine9dx8</t>
  </si>
  <si>
    <t>大學生、商業、工程師、媒合</t>
  </si>
  <si>
    <t>Yochi&amp;小四</t>
  </si>
  <si>
    <t>長照SDK</t>
  </si>
  <si>
    <t>長照 SDK 身分驗證議題</t>
  </si>
  <si>
    <t>https://docs.google.com/presentation/d/1lNgu2HDpYpAtKpe2xaYx4_BQbIqD5gUM/edit?usp=sharing&amp;ouid=116503426489538142650&amp;rtpof=true&amp;sd=true</t>
  </si>
  <si>
    <t>長照, SDK, 身分驗證</t>
  </si>
  <si>
    <t>數位身分驗證、長照、APP架構</t>
  </si>
  <si>
    <t>請問有沒有聯絡方式呢?</t>
  </si>
  <si>
    <t>Irvin</t>
  </si>
  <si>
    <t>海纜斷了網站還會動嗎</t>
  </si>
  <si>
    <t>海纜斷了 XX 網站還會動嗎？測試框架</t>
  </si>
  <si>
    <t>CC0</t>
  </si>
  <si>
    <t>https://g0v.hackmd.io/@irvin/cable-dark</t>
  </si>
  <si>
    <t>https://irvin.github.io/web-resilience-test-result/?url=g0v.tw</t>
  </si>
  <si>
    <t>JS, 韌性</t>
  </si>
  <si>
    <t xml:space="preserve">網路架構, nodejs </t>
  </si>
  <si>
    <t>@irvin</t>
  </si>
  <si>
    <t>歡迎首次提案者 Reserved for: First-time Proposers</t>
  </si>
  <si>
    <t>歡迎各地社群空間場地提案 / 個人遠距提案
例如 美東與美西時區的線上參加者，也歡迎歐洲時區的朋友預錄三分鐘影片提案 ! 爭取青年開源專案獎金~ 
Reserved for: Proposals from Various Community Spaces / Remote Proposals
Online participants joining from both U.S. East and West Coasts.
Friends in the European time zone are also welcome to pre-record a three-minute project pitch video!
＊Please place the URL of the pre-recorded video file in column Q</t>
  </si>
  <si>
    <t>== 截止 ==</t>
  </si>
  <si>
    <t>11:30-12:00 Newcomer workshop: intro about g0v community &amp; open resource
【零時小學校新手村】主會場 Main Venue</t>
  </si>
  <si>
    <t>12:00-13:00 Lunch【午餐時間】🍱🍱🍱</t>
  </si>
  <si>
    <t>臺北
T
a
i
p
e
i</t>
  </si>
  <si>
    <t>A. Fresh Fish 鮮魚
B. Hainanese Chicken 海南雞
C. Japanese Pork Cutlet 日式豬排
D. Chicken Leg + Sliced Pork with Mushroom 雞腿排+香菇肉片
E. Ovo-lacto Vegetarian 蛋奶素
F. Gluten-Free 無麩質</t>
  </si>
  <si>
    <t>Metal lunch box with reusable stainless steel chopsticks.
Please finish your meal! Bring your own spoon if needed.
鐵盒環保便當+不鏽鋼鐵筷
要吃光光喔，有需要湯匙請自行攜帶！</t>
  </si>
  <si>
    <t>13:00-14:30 【mg新書分享】主會場 Book Launch @Main Venue &amp; Streaming</t>
  </si>
  <si>
    <t>新書座談 New Book Talk
「沒有人」的運動：黑客、鄉民、與g0v零時政府的數位行動主義
The NOBODY Movement: Civic Hackers and Digital Activism in Taiwan</t>
  </si>
  <si>
    <t>14:30 Afternoon Snacks【下午茶點時間】🍰🍰🍰🍪🍪🍪</t>
  </si>
  <si>
    <t>．夏日水果 – Summer Fruits
．脆皮泡芙 – Crispy Puffs
．楓糖鬆餅 – Maple Syrup Pancake
．布朗尼蛋糕 – Brownies
．金元寶蛋糕 – Gold Ingot Cake</t>
  </si>
  <si>
    <t>．鮪魚沙拉 – Tuna Salad
．雞肉捲 – Chicken Roll
．芋頭捲 – Taro Roll
．水果塔 – Fruit Tart
．雞肉塔 – Chicken Tart
．and....</t>
  </si>
  <si>
    <t>14:50 AI Literacy【AI 素養交流聚會】@4F 四樓廚房</t>
  </si>
  <si>
    <t>內容待補充</t>
  </si>
  <si>
    <t>14:50 Green Sofa Web3 Workshop【綠沙發 Web3 工作坊】Web3 @2F 二樓</t>
  </si>
  <si>
    <t>帶你認識 FAB DAO 與綠沙發社群、如何使用 web3 加密貨幣錢包、如何參與公共財國際募資</t>
  </si>
  <si>
    <t>15:50 Talk【短講報名】每個 present 8min，分享議題、專案、研究、技術皆可。</t>
  </si>
  <si>
    <t>順序</t>
  </si>
  <si>
    <t>發表時間（自填）</t>
  </si>
  <si>
    <t>錄影以 CC-BY 釋出?</t>
  </si>
  <si>
    <t>相關連結
Links</t>
  </si>
  <si>
    <t>三個關鍵字
3 Keywords of Project</t>
  </si>
  <si>
    <t>專案徵人
Recruitment (talents?)</t>
  </si>
  <si>
    <t>坑主聯絡方式</t>
  </si>
  <si>
    <t>Ｙ</t>
  </si>
  <si>
    <t>略懂excel,熟悉財金/股市/投資的夥伴, 關心氣候正義</t>
  </si>
  <si>
    <t>海纜斷了會怎樣？哪些 2027 前我們必須找出答案的問題。</t>
  </si>
  <si>
    <t>彙整海纜議題現況，分享網站韌性測試框架，收集海纜斷了的各種相關問題。</t>
  </si>
  <si>
    <t>https://g0v.hackmd.io/@irvin/cable-questions/edit</t>
  </si>
  <si>
    <t>韌性、網路治理、</t>
  </si>
  <si>
    <t>改進網站韌性檢測邏輯；幫忙分享研究計劃書給潛在贊助者</t>
  </si>
  <si>
    <t>irvin@moztw.org / g0v slack @irvin</t>
  </si>
  <si>
    <t>候補</t>
  </si>
  <si>
    <t>16:30 Present project【成果報告】 每個 present 5min，可視 project 數量和剩餘時間調整</t>
  </si>
  <si>
    <t>揪松團 Jothon</t>
  </si>
  <si>
    <t>零世代資金池計畫獎金公布</t>
  </si>
  <si>
    <t>YuTin</t>
  </si>
  <si>
    <t>民力系統</t>
  </si>
  <si>
    <t>救災救護義消協勤系統</t>
  </si>
  <si>
    <t>MIT</t>
  </si>
  <si>
    <t>https://www.canva.com/design/DAGoaW_p3CA/rwttPM33Je-u99pM7eEjWg/edit?utm_content=DAGoaW_p3CA&amp;utm_campaign=designshare&amp;utm_medium=link2&amp;utm_source=sharebutton</t>
  </si>
  <si>
    <t>Paul</t>
  </si>
  <si>
    <t>數位韌性松</t>
  </si>
  <si>
    <t>如何確保訊息有成功傳給群組中的人</t>
  </si>
  <si>
    <t>s.g0v.tw/resi</t>
  </si>
  <si>
    <t xml:space="preserve">vtaiwan </t>
  </si>
  <si>
    <t>vtaiwan 議題小聚</t>
  </si>
  <si>
    <t>居民防詐社交工程演練</t>
  </si>
  <si>
    <t>協助資訊落差的居民，提升資安防詐意識。</t>
  </si>
  <si>
    <t>Barry</t>
  </si>
  <si>
    <r>
      <rPr>
        <b/>
        <color rgb="FFFF9700"/>
        <sz val="17.0"/>
      </rPr>
      <t xml:space="preserve">[UTC+8] 17:30 臺灣晚間場  TW Evening Session
[BST] 10:30 歐洲時區白天時間 European Time Zone 
</t>
    </r>
    <r>
      <rPr>
        <b/>
        <color rgb="FFFF9700"/>
        <sz val="14.0"/>
      </rPr>
      <t>現場可以提案，也歡迎各個社群空間場地提案 / 個人遠距提案 Reserved for: Proposals from Various Community Spaces / Remote Proposals
＊Please place the URL of the pre-recorded video file in column Q
＊若希望爭取青年開源專案資金池獎金，也請在上午提案，可以用預錄影片方式 
If you would like to compete for the Youth Open Source Project Fund Award, please make your proposal in the morning — you may also submit it via a pre-recorded video.</t>
    </r>
  </si>
  <si>
    <t>[UTC+8] 19:00-20:00 【晚餐時間】Dinner  🍕🍕🍕
[BST] 12:00-13:00【午餐時間】Lunch 🍲🧆🍝</t>
  </si>
  <si>
    <t>Pizza, Coke</t>
  </si>
  <si>
    <t>Present project【進展報告】 每個 present 5min
[UTC+8] 20:30-21:00
[BST] 13:30-14:00</t>
  </si>
  <si>
    <r>
      <rPr>
        <b/>
      </rPr>
      <t xml:space="preserve">21:00 👋👋👋
Keep in touch, and see you online ~
g0v Slack Chat Room 文字聊天頻道 </t>
    </r>
    <r>
      <rPr>
        <b/>
        <color rgb="FF1155CC"/>
        <u/>
      </rPr>
      <t>https://g0v.hackmd.io/@jothon/joing0vslack</t>
    </r>
  </si>
  <si>
    <t>請留意自身物品 Common Lost items ! Don’t forget to bring them home!
充電線、插座頭、USB Charging items: Wires &amp; Plugs
保溫杯、環保餐具與筷子 Waterbottles, tablewares and chopsticks
外套、圍巾 Clothes: Jacket, Scarf
無線耳機 Wireless Headphones 
錢包、各種卡片、手機 Wallet, cellphones</t>
  </si>
  <si>
    <t>場地名稱
Venue
→</t>
  </si>
  <si>
    <t>Live stream on YouTube →
活動直播 →</t>
  </si>
  <si>
    <t>https://www.youtube.com/@g0vTW/</t>
  </si>
  <si>
    <t>Online Meeting Room →
線上場域 →</t>
  </si>
  <si>
    <t>https://app.gather.town/app/DWVbCODkTfRGgDPS/g0vjothon</t>
  </si>
  <si>
    <r>
      <rPr>
        <b/>
        <sz val="14.0"/>
      </rPr>
      <t>Gather Town
(</t>
    </r>
    <r>
      <rPr>
        <b/>
        <color rgb="FF1155CC"/>
        <sz val="14.0"/>
        <u/>
      </rPr>
      <t>Online Space</t>
    </r>
    <r>
      <rPr>
        <b/>
        <sz val="14.0"/>
      </rPr>
      <t>)</t>
    </r>
  </si>
  <si>
    <t>g0v Taipei Community Space, 2F</t>
  </si>
  <si>
    <t>Taipei 4F</t>
  </si>
  <si>
    <t>Taipei 1F</t>
  </si>
  <si>
    <t>location B</t>
  </si>
  <si>
    <t>location C</t>
  </si>
  <si>
    <t>location D</t>
  </si>
  <si>
    <t>location E</t>
  </si>
  <si>
    <t>有主會場可以一起看活動直播，也有許多的小組隔間場地可以分組視訊使用
There is a main venue where participants can watch the event livestream together. There are group rooms available for breakout sessions. ▼</t>
  </si>
  <si>
    <t>▼ 2F 主會場
Main Space</t>
  </si>
  <si>
    <t>▼ 二樓大間
Large Space 
on 2nd Floor</t>
  </si>
  <si>
    <t>▼ 二樓中間
Medium Space 
on 2nd Floor</t>
  </si>
  <si>
    <t>▼ 二樓會議室
Meeting Room 
on 2nd Floor</t>
  </si>
  <si>
    <t>▼ 四樓廚房
Kitchen on 4th Floor</t>
  </si>
  <si>
    <t>▼ 一樓咖博館包場
Exclusive Rental of Café 
on 1st Floor</t>
  </si>
  <si>
    <t>(歡迎自主揪團)</t>
  </si>
  <si>
    <r>
      <rPr>
        <b/>
        <sz val="13.0"/>
      </rPr>
      <t xml:space="preserve">場地規格
</t>
    </r>
    <r>
      <rPr>
        <b/>
        <sz val="12.0"/>
      </rPr>
      <t xml:space="preserve">Specifications
</t>
    </r>
    <r>
      <rPr>
        <b/>
        <sz val="13.0"/>
      </rPr>
      <t>→</t>
    </r>
  </si>
  <si>
    <r>
      <rPr>
        <b/>
      </rPr>
      <t>不提供桌面</t>
    </r>
    <r>
      <rPr/>
      <t xml:space="preserve">
座椅為主，40 個座位
</t>
    </r>
    <r>
      <rPr>
        <b/>
      </rPr>
      <t>No tables provided</t>
    </r>
    <r>
      <rPr/>
      <t xml:space="preserve">
Seating only
40 seats available</t>
    </r>
  </si>
  <si>
    <r>
      <rPr/>
      <t xml:space="preserve">有投影機
</t>
    </r>
    <r>
      <rPr>
        <b/>
      </rPr>
      <t>有桌面，人數 32 人</t>
    </r>
    <r>
      <rPr/>
      <t xml:space="preserve">
Projector available
Tables provided
Capacity: 32 people</t>
    </r>
  </si>
  <si>
    <r>
      <rPr/>
      <t xml:space="preserve">有投影機
</t>
    </r>
    <r>
      <rPr>
        <b/>
      </rPr>
      <t>有桌面，人數 18 人</t>
    </r>
    <r>
      <rPr/>
      <t xml:space="preserve">
Projector available
Tables provided
Capacity: 18 people</t>
    </r>
  </si>
  <si>
    <r>
      <rPr/>
      <t xml:space="preserve">有一個大電視螢幕
</t>
    </r>
    <r>
      <rPr>
        <b/>
      </rPr>
      <t>有桌面，人數 10 人</t>
    </r>
    <r>
      <rPr/>
      <t xml:space="preserve">
One TV screen available
Tables provided
Capacity: 10 people</t>
    </r>
  </si>
  <si>
    <r>
      <rPr/>
      <t xml:space="preserve">有投影機
</t>
    </r>
    <r>
      <rPr>
        <b/>
      </rPr>
      <t>有桌面，人數 22 人</t>
    </r>
    <r>
      <rPr/>
      <t xml:space="preserve">
Projector available
Tables provided
Capacity: 22 people
</t>
    </r>
  </si>
  <si>
    <r>
      <rPr>
        <b/>
      </rPr>
      <t>包場時間：10:30-16:30</t>
    </r>
    <r>
      <rPr/>
      <t xml:space="preserve">
短焦投影機與移動式投影幕，</t>
    </r>
    <r>
      <rPr>
        <b/>
      </rPr>
      <t>有桌面與吧檯高腳椅，人數 24 人</t>
    </r>
    <r>
      <rPr/>
      <t xml:space="preserve">
No projector
Tables &amp; bar stool provided
Capacity: 24 people</t>
    </r>
  </si>
  <si>
    <t>You're welcome to organize in-person gatherings independently.</t>
  </si>
  <si>
    <t>議程
Agenda
→</t>
  </si>
  <si>
    <r>
      <rPr>
        <b/>
        <sz val="10.0"/>
      </rPr>
      <t xml:space="preserve">[UTC+8] </t>
    </r>
    <r>
      <rPr>
        <b/>
        <sz val="13.0"/>
      </rPr>
      <t xml:space="preserve">
5/25 
Sun.
9:30</t>
    </r>
  </si>
  <si>
    <r>
      <rPr/>
      <t xml:space="preserve">9:30-10:30
</t>
    </r>
    <r>
      <rPr>
        <color rgb="FF1155CC"/>
        <u/>
      </rPr>
      <t>[聯播] 提案時間
[Simulcast] Propose</t>
    </r>
  </si>
  <si>
    <t>[UTC+8] 5/25 Sun. 9:00【飲料與限量早餐】Drinks &amp; Breakfast 🥤🌮🥪
(Limited quantity, priority will be given to participants who arrive in a rush.)</t>
  </si>
  <si>
    <t>9:30-10:30
[現場] 提案時間
Propose</t>
  </si>
  <si>
    <r>
      <rPr/>
      <t xml:space="preserve">9:30-10:30
</t>
    </r>
    <r>
      <rPr>
        <color rgb="FF1155CC"/>
        <u/>
      </rPr>
      <t>[聯播] 提案時間
[Simulcast] Propose</t>
    </r>
  </si>
  <si>
    <r>
      <rPr/>
      <t xml:space="preserve">9:30-10:30
</t>
    </r>
    <r>
      <rPr>
        <color rgb="FF1155CC"/>
        <u/>
      </rPr>
      <t>[聯播] 提案時間
[Simulcast] Propose</t>
    </r>
  </si>
  <si>
    <t>X</t>
  </si>
  <si>
    <t>10:50-12:00
hacking</t>
  </si>
  <si>
    <t>→
專案小組成員
所在的位置
Where the project team members are located
→</t>
  </si>
  <si>
    <t>(請填入專案名稱 
your project name)</t>
  </si>
  <si>
    <r>
      <rPr/>
      <t xml:space="preserve">11:30-12:00 </t>
    </r>
    <r>
      <rPr>
        <b/>
        <color rgb="FF1155CC"/>
        <u/>
      </rPr>
      <t>零時小學校新手村 Newcomer workshop</t>
    </r>
    <r>
      <rPr>
        <color rgb="FF1155CC"/>
        <u/>
      </rPr>
      <t>: intro about g0v community &amp; open resource</t>
    </r>
  </si>
  <si>
    <r>
      <rPr>
        <b/>
      </rPr>
      <t>g0v 國會松
Congressth0n</t>
    </r>
    <r>
      <rPr/>
      <t xml:space="preserve">
</t>
    </r>
    <r>
      <rPr>
        <color rgb="FF1155CC"/>
        <u/>
      </rPr>
      <t>https://s.g0v.tw/congressthon</t>
    </r>
  </si>
  <si>
    <t>沒有人罷免手冊</t>
  </si>
  <si>
    <t>Estimated Each School Enrollment in 2040 各校就學人口推估 aka 小學生湧現地圖</t>
  </si>
  <si>
    <t>公務人員推坑
ichieh</t>
  </si>
  <si>
    <t>午餐
Lunch</t>
  </si>
  <si>
    <t>hacking</t>
  </si>
  <si>
    <r>
      <rPr/>
      <t xml:space="preserve">12:00-13:00 
🍱🍱🍱 午餐 Lunch 🍱🍱🍱
</t>
    </r>
    <r>
      <rPr>
        <b/>
        <sz val="14.0"/>
      </rPr>
      <t>二樓中間取餐 Pick up food on the second floor</t>
    </r>
  </si>
  <si>
    <t>議程
Agenda</t>
  </si>
  <si>
    <r>
      <rPr/>
      <t xml:space="preserve">13:00-14:30
</t>
    </r>
    <r>
      <rPr>
        <color rgb="FF1155CC"/>
        <u/>
      </rPr>
      <t xml:space="preserve">[聯播] 新書座談
[Simulcast] 
New Book Talk
</t>
    </r>
    <r>
      <rPr/>
      <t>「沒有人」的運動：黑客、鄉民、與g0v零時政府的數位行動主義
The NOBODY Movement: Civic Hackers and Digital Activism in Taiwan</t>
    </r>
  </si>
  <si>
    <t>13:00-14:30
[現場] 新書座談
New Book Talk
「沒有人」的運動：黑客、鄉民、與g0v零時政府的數位行動主義
The NOBODY Movement: Civic Hackers and Digital Activism in Taiwan</t>
  </si>
  <si>
    <r>
      <rPr/>
      <t xml:space="preserve">13:00-14:30
</t>
    </r>
    <r>
      <rPr>
        <color rgb="FF1155CC"/>
        <u/>
      </rPr>
      <t xml:space="preserve">[聯播] 新書座談
[Simulcast] 
New Book Talk
</t>
    </r>
    <r>
      <rPr/>
      <t>「沒有人」的運動：黑客、鄉民、與g0v零時政府的數位行動主義
The NOBODY Movement: Civic Hackers and Digital Activism in Taiwan</t>
    </r>
  </si>
  <si>
    <r>
      <rPr>
        <b/>
      </rPr>
      <t>g0v 國會松
Congressth0n</t>
    </r>
    <r>
      <rPr/>
      <t xml:space="preserve">
</t>
    </r>
    <r>
      <rPr>
        <color rgb="FF1155CC"/>
        <u/>
      </rPr>
      <t>https://s.g0v.tw/congressthon</t>
    </r>
  </si>
  <si>
    <r>
      <rPr/>
      <t xml:space="preserve">14:30-14:50 
🍰🍰🍰 下午茶點 Afternoon Tea Time 🍪🍪🍪
</t>
    </r>
    <r>
      <rPr>
        <b/>
        <sz val="14.0"/>
      </rPr>
      <t>二樓中間取餐 Pick up food on the second floor</t>
    </r>
  </si>
  <si>
    <r>
      <rPr/>
      <t xml:space="preserve">14:50-15:50
</t>
    </r>
    <r>
      <rPr>
        <color rgb="FF1155CC"/>
        <u/>
      </rPr>
      <t>FAB DAO (web3 Workshop)
綠沙發工作坊</t>
    </r>
    <r>
      <rPr/>
      <t xml:space="preserve">
15:50-16:10
[現場] 短講 Talk</t>
    </r>
  </si>
  <si>
    <r>
      <rPr/>
      <t xml:space="preserve">14:50 hacking
15:50-16:10
</t>
    </r>
    <r>
      <rPr>
        <color rgb="FF1155CC"/>
        <u/>
      </rPr>
      <t>[聯播] 短講 
[Simulcast] Talk</t>
    </r>
  </si>
  <si>
    <t>14:50-16:30
AI Literacy
AI 素養交流聚會</t>
  </si>
  <si>
    <r>
      <rPr>
        <b/>
      </rPr>
      <t>g0v 國會松
Congressth0n</t>
    </r>
    <r>
      <rPr/>
      <t xml:space="preserve">
</t>
    </r>
    <r>
      <rPr>
        <color rgb="FF1155CC"/>
        <u/>
      </rPr>
      <t>https://s.g0v.tw/congressthon</t>
    </r>
  </si>
  <si>
    <r>
      <rPr/>
      <t xml:space="preserve">16:30-17:30
</t>
    </r>
    <r>
      <rPr>
        <color rgb="FF1155CC"/>
        <u/>
      </rPr>
      <t>[聯播] 成果報告
[Simulcast] Present</t>
    </r>
  </si>
  <si>
    <t>16:30-17:30
[現場] 成果報告
Present</t>
  </si>
  <si>
    <r>
      <rPr/>
      <t xml:space="preserve">16:30-17:30
</t>
    </r>
    <r>
      <rPr>
        <color rgb="FF1155CC"/>
        <u/>
      </rPr>
      <t>[聯播] 成果報告
[Simulcast] Present</t>
    </r>
  </si>
  <si>
    <r>
      <rPr/>
      <t xml:space="preserve">17:30-18:30
</t>
    </r>
    <r>
      <rPr>
        <color rgb="FF1155CC"/>
        <u/>
      </rPr>
      <t>[現場] 晚間場提案
Propose</t>
    </r>
  </si>
  <si>
    <t>17:30-18:30
[現場] 晚間場提案
Propose</t>
  </si>
  <si>
    <t>18:30-19:30
晚餐 Dinner</t>
  </si>
  <si>
    <r>
      <rPr/>
      <t xml:space="preserve">20:30-21:00
</t>
    </r>
    <r>
      <rPr>
        <color rgb="FF1155CC"/>
        <u/>
      </rPr>
      <t>[現場] 成果報告
Present</t>
    </r>
  </si>
  <si>
    <t>20:30-21:00
[現場] 成果報告
Present</t>
  </si>
  <si>
    <r>
      <rPr/>
      <t xml:space="preserve">21:00 👋👋👋
</t>
    </r>
    <r>
      <rPr>
        <sz val="11.0"/>
      </rPr>
      <t>Keep in touch, and see you online ~</t>
    </r>
    <r>
      <rPr/>
      <t xml:space="preserve">
</t>
    </r>
    <r>
      <rPr>
        <b/>
      </rPr>
      <t xml:space="preserve">g0v Slack Chat Room 文字聊天頻道 </t>
    </r>
    <r>
      <rPr>
        <b/>
        <color rgb="FF1155CC"/>
        <u/>
      </rPr>
      <t>https://g0v.hackmd.io/@jothon/joing0vslack</t>
    </r>
  </si>
  <si>
    <r>
      <rPr/>
      <t xml:space="preserve">21:00 👋👋👋
</t>
    </r>
    <r>
      <rPr>
        <sz val="11.0"/>
      </rPr>
      <t>Keep in touch, and see you online ~</t>
    </r>
    <r>
      <rPr/>
      <t xml:space="preserve">
</t>
    </r>
    <r>
      <rPr>
        <b/>
      </rPr>
      <t xml:space="preserve">g0v Slack Chat Room 文字聊天頻道 </t>
    </r>
    <r>
      <rPr>
        <b/>
        <color rgb="FF1155CC"/>
        <u/>
      </rPr>
      <t>https://g0v.hackmd.io/@jothon/joing0vslack</t>
    </r>
  </si>
  <si>
    <t>請自行領取(剪下並刪除)投票連結，一人限領一坨連結
投票時間：~5/25-1530
Please take (cut and delete) your voting link yourself — one person per set of links only.
Voting period: until 5/25, 15:30.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</si>
</sst>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7">
    <font>
      <sz val="10.0"/>
      <color rgb="FF000000"/>
      <name val="Arial"/>
    </font>
    <font>
      <b/>
      <sz val="10.0"/>
    </font>
    <font>
      <b/>
      <sz val="8.0"/>
    </font>
    <font>
      <b/>
      <u/>
      <sz val="10.0"/>
      <color rgb="FF0000FF"/>
    </font>
    <font>
      <b/>
      <sz val="14.0"/>
      <color rgb="FFFF9700"/>
      <name val="Arial"/>
    </font>
    <font>
      <sz val="10.0"/>
      <color rgb="FF000000"/>
    </font>
    <font/>
    <font>
      <b/>
      <sz val="12.0"/>
    </font>
    <font>
      <sz val="9.0"/>
      <color rgb="FF008000"/>
      <name val="&quot;Google Sans Mono&quot;"/>
    </font>
    <font>
      <b/>
      <sz val="17.0"/>
      <color rgb="FFFF9700"/>
      <name val="Arial"/>
    </font>
    <font>
      <name val="Arial"/>
    </font>
    <font>
      <u/>
      <color rgb="FF0000FF"/>
    </font>
    <font>
      <color rgb="FF1155CC"/>
    </font>
    <font>
      <b/>
      <sz val="17.0"/>
      <color rgb="FFFF9700"/>
    </font>
    <font>
      <sz val="11.0"/>
      <color rgb="FFFF9900"/>
    </font>
    <font>
      <color rgb="FFFF9900"/>
    </font>
    <font>
      <u/>
      <color rgb="FF0000FF"/>
      <name val="Arial"/>
    </font>
    <font>
      <u/>
      <color rgb="FF1155CC"/>
      <name val="Arial"/>
    </font>
    <font>
      <sz val="10.0"/>
    </font>
    <font>
      <u/>
      <sz val="10.0"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sz val="11.0"/>
      <color rgb="FF000000"/>
      <name val="&quot;Times New Roman&quot;"/>
    </font>
    <font>
      <b/>
      <sz val="13.0"/>
      <color rgb="FFFF9700"/>
    </font>
    <font>
      <b/>
      <sz val="13.0"/>
    </font>
    <font>
      <sz val="12.0"/>
    </font>
    <font>
      <sz val="11.0"/>
    </font>
    <font>
      <sz val="13.0"/>
    </font>
    <font>
      <color rgb="FF000000"/>
    </font>
    <font>
      <u/>
      <color rgb="FF0000FF"/>
    </font>
    <font>
      <color rgb="FFDCA10D"/>
    </font>
    <font>
      <sz val="11.0"/>
      <color rgb="FF2B80B9"/>
    </font>
    <font>
      <b/>
      <u/>
      <color rgb="FF0000FF"/>
    </font>
    <font>
      <b/>
      <sz val="9.0"/>
      <name val="Arial"/>
    </font>
    <font>
      <b/>
      <u/>
      <sz val="13.0"/>
      <color rgb="FF0000FF"/>
    </font>
    <font>
      <b/>
      <u/>
      <sz val="14.0"/>
      <color rgb="FF0000FF"/>
    </font>
    <font>
      <b/>
      <sz val="14.0"/>
    </font>
    <font>
      <b/>
      <sz val="11.0"/>
    </font>
    <font>
      <b/>
    </font>
    <font>
      <u/>
      <color rgb="FF0000FF"/>
    </font>
    <font>
      <color rgb="FFB7B7B7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b/>
      <sz val="13.0"/>
      <color rgb="FFFF0000"/>
    </font>
  </fonts>
  <fills count="17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5" fontId="8" numFmtId="0" xfId="0" applyAlignment="1" applyFill="1" applyFont="1">
      <alignment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3" fontId="10" numFmtId="0" xfId="0" applyAlignment="1" applyFont="1">
      <alignment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readingOrder="0" shrinkToFit="0" vertical="center" wrapText="1"/>
    </xf>
    <xf borderId="0" fillId="3" fontId="14" numFmtId="0" xfId="0" applyAlignment="1" applyFont="1">
      <alignment readingOrder="0" shrinkToFit="0" vertical="center" wrapText="1"/>
    </xf>
    <xf borderId="0" fillId="3" fontId="15" numFmtId="0" xfId="0" applyAlignment="1" applyFont="1">
      <alignment readingOrder="0" shrinkToFit="0" vertical="center" wrapText="1"/>
    </xf>
    <xf borderId="1" fillId="3" fontId="15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5" fontId="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5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wrapText="1"/>
    </xf>
    <xf borderId="0" fillId="5" fontId="2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24" numFmtId="0" xfId="0" applyAlignment="1" applyFont="1">
      <alignment readingOrder="0" shrinkToFit="0" vertical="center" wrapText="1"/>
    </xf>
    <xf quotePrefix="1" borderId="0" fillId="0" fontId="6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bottom" wrapText="1"/>
    </xf>
    <xf borderId="1" fillId="3" fontId="10" numFmtId="0" xfId="0" applyAlignment="1" applyBorder="1" applyFont="1">
      <alignment shrinkToFit="0" vertical="bottom" wrapText="1"/>
    </xf>
    <xf borderId="1" fillId="3" fontId="13" numFmtId="0" xfId="0" applyAlignment="1" applyBorder="1" applyFont="1">
      <alignment readingOrder="0" shrinkToFit="0" vertical="center" wrapText="1"/>
    </xf>
    <xf borderId="0" fillId="0" fontId="25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5" fontId="8" numFmtId="0" xfId="0" applyAlignment="1" applyFont="1">
      <alignment shrinkToFit="0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18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quotePrefix="1" borderId="0" fillId="6" fontId="18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0"/>
    </xf>
    <xf borderId="0" fillId="5" fontId="18" numFmtId="0" xfId="0" applyAlignment="1" applyFont="1">
      <alignment horizontal="left" readingOrder="0" shrinkToFit="0" vertical="center" wrapText="1"/>
    </xf>
    <xf borderId="0" fillId="5" fontId="18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18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5" fontId="18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7" fontId="6" numFmtId="0" xfId="0" applyAlignment="1" applyFill="1" applyFont="1">
      <alignment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8" fontId="34" numFmtId="0" xfId="0" applyAlignment="1" applyFill="1" applyFont="1">
      <alignment horizontal="right" shrinkToFit="0" wrapText="1"/>
    </xf>
    <xf borderId="0" fillId="8" fontId="35" numFmtId="0" xfId="0" applyAlignment="1" applyFont="1">
      <alignment horizontal="left" readingOrder="0" shrinkToFit="0" vertical="center" wrapText="1"/>
    </xf>
    <xf borderId="0" fillId="9" fontId="36" numFmtId="0" xfId="0" applyAlignment="1" applyFill="1" applyFont="1">
      <alignment horizontal="center" readingOrder="0" shrinkToFit="0" vertical="center" wrapText="1"/>
    </xf>
    <xf borderId="0" fillId="10" fontId="37" numFmtId="0" xfId="0" applyAlignment="1" applyFill="1" applyFont="1">
      <alignment horizontal="center" readingOrder="0" shrinkToFit="0" vertical="center" wrapText="1"/>
    </xf>
    <xf borderId="0" fillId="11" fontId="37" numFmtId="0" xfId="0" applyAlignment="1" applyFill="1" applyFont="1">
      <alignment horizontal="center" readingOrder="0" shrinkToFit="0" vertical="center" wrapText="1"/>
    </xf>
    <xf borderId="0" fillId="12" fontId="37" numFmtId="0" xfId="0" applyAlignment="1" applyFill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10" fontId="40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0" fontId="25" numFmtId="20" xfId="0" applyAlignment="1" applyFont="1" applyNumberForma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15" fontId="44" numFmtId="0" xfId="0" applyAlignment="1" applyFill="1" applyFont="1">
      <alignment horizontal="center" readingOrder="0" shrinkToFit="0" vertical="center" wrapText="1"/>
    </xf>
    <xf borderId="0" fillId="15" fontId="6" numFmtId="0" xfId="0" applyAlignment="1" applyFont="1">
      <alignment horizontal="center" readingOrder="0" shrinkToFit="0" vertical="center" wrapText="1"/>
    </xf>
    <xf borderId="0" fillId="16" fontId="4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4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nva.com/design/DAGoaW_p3CA/rwttPM33Je-u99pM7eEjWg/edit?utm_content=DAGoaW_p3CA&amp;utm_campaign=designshare&amp;utm_medium=link2&amp;utm_source=sharebutton" TargetMode="External"/><Relationship Id="rId20" Type="http://schemas.openxmlformats.org/officeDocument/2006/relationships/hyperlink" Target="https://hackmd.io/@ejc/pushpush" TargetMode="External"/><Relationship Id="rId42" Type="http://schemas.openxmlformats.org/officeDocument/2006/relationships/hyperlink" Target="https://docs.google.com/presentation/d/1RFmxjubfIaFT_6B6Lo9JqFBNJgZG8ow6davvAgLm82A/edit?slide=id.g35b1113712e_0_93" TargetMode="External"/><Relationship Id="rId41" Type="http://schemas.openxmlformats.org/officeDocument/2006/relationships/hyperlink" Target="http://s.g0v.tw/resi" TargetMode="External"/><Relationship Id="rId22" Type="http://schemas.openxmlformats.org/officeDocument/2006/relationships/hyperlink" Target="https://ooni-research.ocf.tw/docs/event-workshop-2025/" TargetMode="External"/><Relationship Id="rId44" Type="http://schemas.openxmlformats.org/officeDocument/2006/relationships/hyperlink" Target="https://g0v.hackmd.io/inVTfFKdR1KMD292SU8LQA" TargetMode="External"/><Relationship Id="rId21" Type="http://schemas.openxmlformats.org/officeDocument/2006/relationships/hyperlink" Target="https://gamma.app/docs/-3te8ajr5quzt5ql" TargetMode="External"/><Relationship Id="rId43" Type="http://schemas.openxmlformats.org/officeDocument/2006/relationships/hyperlink" Target="https://docs.google.com/presentation/d/1RFmxjubfIaFT_6B6Lo9JqFBNJgZG8ow6davvAgLm82A/edit?slide=id.g35b1113712e_0_93" TargetMode="External"/><Relationship Id="rId24" Type="http://schemas.openxmlformats.org/officeDocument/2006/relationships/hyperlink" Target="https://formbricks.toomore.net/s/cmaxjo2p40000o10131byw3do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ocs.google.com/presentation/d/1vonxH016BKVcEgSqZk4PvUVhwscXf1Jz75h24HWDOjc/edit?usp=sharing" TargetMode="External"/><Relationship Id="rId45" Type="http://schemas.openxmlformats.org/officeDocument/2006/relationships/hyperlink" Target="https://g0v.hackmd.io/@jothon/joing0vslack" TargetMode="External"/><Relationship Id="rId1" Type="http://schemas.openxmlformats.org/officeDocument/2006/relationships/hyperlink" Target="https://g0v.hackmd.io/@jothon/Generation_Zero_Vestment" TargetMode="External"/><Relationship Id="rId2" Type="http://schemas.openxmlformats.org/officeDocument/2006/relationships/hyperlink" Target="https://docs.google.com/presentation/d/17b0aW78LaaTDCbQWt52gIZYyehhfE9WXoODRyexrUHo/edit?usp=sharing" TargetMode="External"/><Relationship Id="rId3" Type="http://schemas.openxmlformats.org/officeDocument/2006/relationships/hyperlink" Target="https://sch001.g0v.tw/" TargetMode="External"/><Relationship Id="rId4" Type="http://schemas.openxmlformats.org/officeDocument/2006/relationships/hyperlink" Target="https://g0v.hackmd.io/@jothon/Generation_Zero_Vestment" TargetMode="External"/><Relationship Id="rId9" Type="http://schemas.openxmlformats.org/officeDocument/2006/relationships/hyperlink" Target="https://youtube.com/live/rf9TLjqA9YE" TargetMode="External"/><Relationship Id="rId26" Type="http://schemas.openxmlformats.org/officeDocument/2006/relationships/hyperlink" Target="https://ejfoundation.org/resources/downloads/Taiwan-public-funds-divestment-2024.pdf" TargetMode="External"/><Relationship Id="rId25" Type="http://schemas.openxmlformats.org/officeDocument/2006/relationships/hyperlink" Target="https://ooni-research.ocf.tw/docs/contact/" TargetMode="External"/><Relationship Id="rId28" Type="http://schemas.openxmlformats.org/officeDocument/2006/relationships/hyperlink" Target="https://docs.google.com/presentation/d/1RFmxjubfIaFT_6B6Lo9JqFBNJgZG8ow6davvAgLm82A/edit?slide=id.g35b1113712e_0_93" TargetMode="External"/><Relationship Id="rId27" Type="http://schemas.openxmlformats.org/officeDocument/2006/relationships/hyperlink" Target="https://www.canva.com/design/DAGoWOaxYmU/HQLs88HtP1jW_O43cSM_yA/edit?utm_content=DAGoWOaxYmU&amp;utm_campaign=designshare&amp;utm_medium=link2&amp;utm_source=sharebutton" TargetMode="External"/><Relationship Id="rId5" Type="http://schemas.openxmlformats.org/officeDocument/2006/relationships/hyperlink" Target="https://docs.google.com/presentation/d/1jQw2XxapzC8ZTATVrk7GO0P-vZoqbo4gMv2077pUkcY/edit?usp=sharing" TargetMode="External"/><Relationship Id="rId6" Type="http://schemas.openxmlformats.org/officeDocument/2006/relationships/hyperlink" Target="https://docs.google.com/presentation/d/1jQw2XxapzC8ZTATVrk7GO0P-vZoqbo4gMv2077pUkcY/edit?usp=sharing" TargetMode="External"/><Relationship Id="rId29" Type="http://schemas.openxmlformats.org/officeDocument/2006/relationships/hyperlink" Target="https://g0v.hackmd.io/@BarryYu/H1oT2Ozayg" TargetMode="External"/><Relationship Id="rId7" Type="http://schemas.openxmlformats.org/officeDocument/2006/relationships/hyperlink" Target="https://wikidata.org/" TargetMode="External"/><Relationship Id="rId8" Type="http://schemas.openxmlformats.org/officeDocument/2006/relationships/hyperlink" Target="https://hackmd.io/@osm-tw/rJiFDnlt1g" TargetMode="External"/><Relationship Id="rId31" Type="http://schemas.openxmlformats.org/officeDocument/2006/relationships/hyperlink" Target="https://www.notion.so/g0vhackathon-1fdac6b5b8d8806ea6cfd9288994f183?pvs=4" TargetMode="External"/><Relationship Id="rId30" Type="http://schemas.openxmlformats.org/officeDocument/2006/relationships/hyperlink" Target="https://docs.google.com/presentation/d/1RFmxjubfIaFT_6B6Lo9JqFBNJgZG8ow6davvAgLm82A/edit?slide=id.p1" TargetMode="External"/><Relationship Id="rId11" Type="http://schemas.openxmlformats.org/officeDocument/2006/relationships/hyperlink" Target="https://g0v.hackmd.io/inVTfFKdR1KMD292SU8LQA" TargetMode="External"/><Relationship Id="rId33" Type="http://schemas.openxmlformats.org/officeDocument/2006/relationships/hyperlink" Target="https://docs.google.com/presentation/d/1lNgu2HDpYpAtKpe2xaYx4_BQbIqD5gUM/edit?usp=sharing&amp;ouid=116503426489538142650&amp;rtpof=true&amp;sd=true" TargetMode="External"/><Relationship Id="rId10" Type="http://schemas.openxmlformats.org/officeDocument/2006/relationships/hyperlink" Target="https://g0v.hackmd.io/inVTfFKdR1KMD292SU8LQA" TargetMode="External"/><Relationship Id="rId32" Type="http://schemas.openxmlformats.org/officeDocument/2006/relationships/hyperlink" Target="https://gamma.app/docs/Biz-Tech-hwfn76a1ine9dx8" TargetMode="External"/><Relationship Id="rId13" Type="http://schemas.openxmlformats.org/officeDocument/2006/relationships/hyperlink" Target="https://docs.google.com/presentation/d/10VRulY_MFMZK4wQNPN6Yjm8N8S9_wi-K1vUwelicwiQ/edit?slide=id.g3554883af0e_1_8" TargetMode="External"/><Relationship Id="rId35" Type="http://schemas.openxmlformats.org/officeDocument/2006/relationships/hyperlink" Target="https://g0v.hackmd.io/@irvin/cable-dark" TargetMode="External"/><Relationship Id="rId12" Type="http://schemas.openxmlformats.org/officeDocument/2006/relationships/hyperlink" Target="https://cofacts.tw/hack" TargetMode="External"/><Relationship Id="rId34" Type="http://schemas.openxmlformats.org/officeDocument/2006/relationships/hyperlink" Target="https://docs.google.com/presentation/d/1lNgu2HDpYpAtKpe2xaYx4_BQbIqD5gUM/edit?usp=sharing&amp;ouid=116503426489538142650&amp;rtpof=true&amp;sd=true" TargetMode="External"/><Relationship Id="rId15" Type="http://schemas.openxmlformats.org/officeDocument/2006/relationships/hyperlink" Target="https://maps.app.goo.gl/zrZRjUGzmKQhwhee7" TargetMode="External"/><Relationship Id="rId37" Type="http://schemas.openxmlformats.org/officeDocument/2006/relationships/hyperlink" Target="https://g0v.hackmd.io/@irvin/cable-questions/edit" TargetMode="External"/><Relationship Id="rId14" Type="http://schemas.openxmlformats.org/officeDocument/2006/relationships/hyperlink" Target="https://g0v.hackmd.io/TG6CtrxyRdudWawzTXfPiw?view" TargetMode="External"/><Relationship Id="rId36" Type="http://schemas.openxmlformats.org/officeDocument/2006/relationships/hyperlink" Target="https://irvin.github.io/web-resilience-test-result/?url=g0v.tw" TargetMode="External"/><Relationship Id="rId17" Type="http://schemas.openxmlformats.org/officeDocument/2006/relationships/hyperlink" Target="https://docs.google.com/presentation/d/12MJYLcHw1STGwb3OQdfwNYKPEYxt74XjiqySdL-Zkec/edit?slide=id.p" TargetMode="External"/><Relationship Id="rId39" Type="http://schemas.openxmlformats.org/officeDocument/2006/relationships/hyperlink" Target="https://g0v.hackmd.io/@jothon/Generation_Zero_Vestment" TargetMode="External"/><Relationship Id="rId16" Type="http://schemas.openxmlformats.org/officeDocument/2006/relationships/hyperlink" Target="https://s.g0v.tw/congressthon" TargetMode="External"/><Relationship Id="rId38" Type="http://schemas.openxmlformats.org/officeDocument/2006/relationships/hyperlink" Target="https://g0v.hackmd.io/@irvin/cable-dark" TargetMode="External"/><Relationship Id="rId19" Type="http://schemas.openxmlformats.org/officeDocument/2006/relationships/hyperlink" Target="https://docs.denkeni.org/qf-tw" TargetMode="External"/><Relationship Id="rId18" Type="http://schemas.openxmlformats.org/officeDocument/2006/relationships/hyperlink" Target="https://hackmd.io/@greensofa/hom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0v.hackmd.io/@jothon/joing0vslack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g0v.hackmd.io/@jothon/joing0vslack" TargetMode="External"/><Relationship Id="rId1" Type="http://schemas.openxmlformats.org/officeDocument/2006/relationships/hyperlink" Target="https://www.youtube.com/@g0vTW/" TargetMode="External"/><Relationship Id="rId2" Type="http://schemas.openxmlformats.org/officeDocument/2006/relationships/hyperlink" Target="https://app.gather.town/app/DWVbCODkTfRGgDPS/g0vjothon" TargetMode="External"/><Relationship Id="rId3" Type="http://schemas.openxmlformats.org/officeDocument/2006/relationships/hyperlink" Target="https://app.gather.town/app/DWVbCODkTfRGgDPS/g0vjothon" TargetMode="External"/><Relationship Id="rId4" Type="http://schemas.openxmlformats.org/officeDocument/2006/relationships/hyperlink" Target="https://www.youtube.com/@g0vTW/" TargetMode="External"/><Relationship Id="rId9" Type="http://schemas.openxmlformats.org/officeDocument/2006/relationships/hyperlink" Target="https://g0v.hackmd.io/TG6CtrxyRdudWawzTXfPiw?view" TargetMode="External"/><Relationship Id="rId5" Type="http://schemas.openxmlformats.org/officeDocument/2006/relationships/hyperlink" Target="https://www.youtube.com/@g0vTW/" TargetMode="External"/><Relationship Id="rId6" Type="http://schemas.openxmlformats.org/officeDocument/2006/relationships/hyperlink" Target="https://www.youtube.com/@g0vTW/" TargetMode="External"/><Relationship Id="rId7" Type="http://schemas.openxmlformats.org/officeDocument/2006/relationships/hyperlink" Target="https://sch001.g0v.tw/" TargetMode="External"/><Relationship Id="rId8" Type="http://schemas.openxmlformats.org/officeDocument/2006/relationships/hyperlink" Target="https://s.g0v.tw/congressthon" TargetMode="External"/><Relationship Id="rId11" Type="http://schemas.openxmlformats.org/officeDocument/2006/relationships/hyperlink" Target="https://www.youtube.com/@g0vTW/" TargetMode="External"/><Relationship Id="rId10" Type="http://schemas.openxmlformats.org/officeDocument/2006/relationships/hyperlink" Target="https://www.youtube.com/@g0vTW/" TargetMode="External"/><Relationship Id="rId13" Type="http://schemas.openxmlformats.org/officeDocument/2006/relationships/hyperlink" Target="https://imoweekly.im/p/grant-is-great" TargetMode="External"/><Relationship Id="rId12" Type="http://schemas.openxmlformats.org/officeDocument/2006/relationships/hyperlink" Target="https://s.g0v.tw/congressthon" TargetMode="External"/><Relationship Id="rId15" Type="http://schemas.openxmlformats.org/officeDocument/2006/relationships/hyperlink" Target="https://s.g0v.tw/congressthon" TargetMode="External"/><Relationship Id="rId14" Type="http://schemas.openxmlformats.org/officeDocument/2006/relationships/hyperlink" Target="https://www.youtube.com/@g0vTW/" TargetMode="External"/><Relationship Id="rId17" Type="http://schemas.openxmlformats.org/officeDocument/2006/relationships/hyperlink" Target="https://www.youtube.com/@g0vTW/" TargetMode="External"/><Relationship Id="rId16" Type="http://schemas.openxmlformats.org/officeDocument/2006/relationships/hyperlink" Target="https://www.youtube.com/@g0vTW/" TargetMode="External"/><Relationship Id="rId19" Type="http://schemas.openxmlformats.org/officeDocument/2006/relationships/hyperlink" Target="https://www.youtube.com/@g0vTW/" TargetMode="External"/><Relationship Id="rId18" Type="http://schemas.openxmlformats.org/officeDocument/2006/relationships/hyperlink" Target="https://www.youtube.com/@g0vTW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1.0"/>
    <col customWidth="1" min="5" max="5" width="14.88"/>
    <col customWidth="1" min="6" max="6" width="8.25"/>
    <col customWidth="1" min="7" max="7" width="12.25"/>
    <col customWidth="1" min="8" max="8" width="13.63"/>
    <col customWidth="1" min="9" max="9" width="39.13"/>
    <col customWidth="1" min="10" max="10" width="12.0"/>
    <col customWidth="1" min="11" max="11" width="23.25"/>
    <col customWidth="1" min="12" max="12" width="28.38"/>
    <col customWidth="1" min="13" max="13" width="17.5"/>
    <col customWidth="1" min="14" max="14" width="21.0"/>
    <col customWidth="1" min="15" max="15" width="24.5"/>
    <col customWidth="1" min="16" max="16" width="25.0"/>
    <col customWidth="1" min="17" max="17" width="15.5"/>
    <col customWidth="1" min="18" max="19" width="18.13"/>
  </cols>
  <sheetData>
    <row r="1" ht="69.0" customHeight="1">
      <c r="A1" s="1"/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1" t="s">
        <v>17</v>
      </c>
    </row>
    <row r="2" ht="22.5" customHeight="1">
      <c r="A2" s="6" t="s">
        <v>18</v>
      </c>
    </row>
    <row r="3" ht="120.0" customHeight="1">
      <c r="A3" s="7"/>
      <c r="B3" s="8"/>
      <c r="C3" s="9" t="s">
        <v>19</v>
      </c>
      <c r="D3" s="10" t="s">
        <v>20</v>
      </c>
      <c r="E3" s="8"/>
      <c r="G3" s="10" t="s">
        <v>21</v>
      </c>
      <c r="H3" s="11"/>
      <c r="I3" s="12"/>
      <c r="J3" s="11"/>
      <c r="L3" s="13"/>
      <c r="M3" s="14"/>
      <c r="N3" s="11"/>
      <c r="O3" s="11"/>
      <c r="P3" s="11"/>
      <c r="Q3" s="11"/>
      <c r="R3" s="15"/>
      <c r="S3" s="16"/>
    </row>
    <row r="4" ht="64.5" customHeight="1">
      <c r="A4" s="7"/>
      <c r="B4" s="8"/>
      <c r="D4" s="10" t="s">
        <v>22</v>
      </c>
      <c r="E4" s="8"/>
      <c r="G4" s="10"/>
      <c r="H4" s="11"/>
      <c r="I4" s="12"/>
      <c r="J4" s="11"/>
      <c r="L4" s="13"/>
      <c r="M4" s="14"/>
      <c r="N4" s="11"/>
      <c r="O4" s="11"/>
      <c r="P4" s="11"/>
      <c r="Q4" s="11"/>
      <c r="R4" s="15"/>
      <c r="S4" s="16"/>
    </row>
    <row r="5" ht="22.5" customHeight="1">
      <c r="A5" s="17" t="s">
        <v>23</v>
      </c>
      <c r="S5" s="18"/>
    </row>
    <row r="6" ht="22.5" customHeight="1">
      <c r="A6" s="7">
        <v>0.0</v>
      </c>
      <c r="B6" s="19">
        <v>0.3958333333333333</v>
      </c>
      <c r="C6" s="8"/>
      <c r="D6" s="11" t="s">
        <v>24</v>
      </c>
      <c r="E6" s="11" t="s">
        <v>25</v>
      </c>
      <c r="F6" s="20" t="s">
        <v>26</v>
      </c>
      <c r="G6" s="8" t="s">
        <v>27</v>
      </c>
      <c r="H6" s="11" t="s">
        <v>28</v>
      </c>
      <c r="I6" s="12" t="s">
        <v>29</v>
      </c>
      <c r="J6" s="11"/>
      <c r="L6" s="21" t="s">
        <v>30</v>
      </c>
      <c r="M6" s="14"/>
      <c r="N6" s="11"/>
      <c r="O6" s="11"/>
      <c r="P6" s="11"/>
      <c r="Q6" s="11"/>
      <c r="R6" s="15"/>
      <c r="S6" s="16"/>
    </row>
    <row r="7" ht="22.5" customHeight="1">
      <c r="A7" s="7">
        <v>0.0</v>
      </c>
      <c r="B7" s="19">
        <v>0.3993055555555556</v>
      </c>
      <c r="C7" s="8"/>
      <c r="D7" s="11" t="s">
        <v>24</v>
      </c>
      <c r="E7" s="11" t="s">
        <v>25</v>
      </c>
      <c r="F7" s="20" t="s">
        <v>26</v>
      </c>
      <c r="G7" s="8" t="s">
        <v>27</v>
      </c>
      <c r="H7" s="11" t="s">
        <v>31</v>
      </c>
      <c r="I7" s="12" t="s">
        <v>32</v>
      </c>
      <c r="J7" s="11"/>
      <c r="K7" s="22" t="s">
        <v>33</v>
      </c>
      <c r="L7" s="13"/>
      <c r="M7" s="14"/>
      <c r="N7" s="11"/>
      <c r="O7" s="11"/>
      <c r="P7" s="11"/>
      <c r="Q7" s="11"/>
      <c r="R7" s="15"/>
      <c r="S7" s="16"/>
    </row>
    <row r="8" ht="22.5" customHeight="1">
      <c r="A8" s="7">
        <v>0.0</v>
      </c>
      <c r="B8" s="19">
        <v>0.40625</v>
      </c>
      <c r="C8" s="8"/>
      <c r="D8" s="23" t="s">
        <v>24</v>
      </c>
      <c r="E8" s="23" t="s">
        <v>25</v>
      </c>
      <c r="F8" s="24" t="s">
        <v>26</v>
      </c>
      <c r="G8" s="8" t="s">
        <v>27</v>
      </c>
      <c r="H8" s="23" t="s">
        <v>34</v>
      </c>
      <c r="I8" s="23" t="s">
        <v>35</v>
      </c>
      <c r="J8" s="23" t="s">
        <v>36</v>
      </c>
      <c r="K8" s="21" t="s">
        <v>37</v>
      </c>
      <c r="L8" s="22"/>
      <c r="M8" s="25" t="s">
        <v>26</v>
      </c>
      <c r="N8" s="11"/>
      <c r="O8" s="11"/>
      <c r="P8" s="11"/>
      <c r="Q8" s="11"/>
      <c r="R8" s="15"/>
      <c r="S8" s="16"/>
    </row>
    <row r="9" ht="15.0" customHeight="1">
      <c r="A9" s="26" t="s">
        <v>38</v>
      </c>
      <c r="S9" s="26"/>
    </row>
    <row r="10" ht="15.0" customHeight="1">
      <c r="A10" s="27" t="s">
        <v>39</v>
      </c>
      <c r="P10" s="28"/>
      <c r="Q10" s="28"/>
      <c r="R10" s="28"/>
      <c r="S10" s="29"/>
    </row>
    <row r="11" ht="34.5" customHeight="1">
      <c r="A11" s="7">
        <v>1.0</v>
      </c>
      <c r="B11" s="19">
        <v>0.4097222222222222</v>
      </c>
      <c r="C11" s="8"/>
      <c r="D11" s="30" t="s">
        <v>40</v>
      </c>
      <c r="E11" s="11" t="s">
        <v>25</v>
      </c>
      <c r="F11" s="31" t="s">
        <v>41</v>
      </c>
      <c r="G11" s="32" t="s">
        <v>27</v>
      </c>
      <c r="H11" s="30" t="s">
        <v>40</v>
      </c>
      <c r="I11" s="30" t="s">
        <v>40</v>
      </c>
      <c r="J11" s="23"/>
      <c r="K11" s="22" t="s">
        <v>42</v>
      </c>
      <c r="L11" s="22" t="s">
        <v>42</v>
      </c>
      <c r="M11" s="25" t="s">
        <v>26</v>
      </c>
      <c r="N11" s="11" t="s">
        <v>43</v>
      </c>
      <c r="O11" s="11"/>
      <c r="P11" s="11" t="s">
        <v>44</v>
      </c>
      <c r="Q11" s="11"/>
      <c r="R11" s="15"/>
      <c r="S11" s="16" t="str">
        <f t="shared" ref="S11:S24" si="1">"g0v tw hackath67n — 提案 — "&amp;H11&amp;" ／ "&amp;D11&amp;" — 沙發很好黑客松"</f>
        <v>g0v tw hackath67n — 提案 — AI Literacy AI 素養交流聚會 ／ AI Literacy AI 素養交流聚會 — 沙發很好黑客松</v>
      </c>
    </row>
    <row r="12" ht="15.0" customHeight="1">
      <c r="A12" s="7">
        <v>2.0</v>
      </c>
      <c r="B12" s="19">
        <v>0.41180555555555554</v>
      </c>
      <c r="C12" s="8"/>
      <c r="D12" s="7" t="s">
        <v>45</v>
      </c>
      <c r="E12" s="11" t="s">
        <v>46</v>
      </c>
      <c r="F12" s="20" t="s">
        <v>26</v>
      </c>
      <c r="G12" s="33"/>
      <c r="H12" s="33" t="s">
        <v>47</v>
      </c>
      <c r="I12" s="34" t="s">
        <v>48</v>
      </c>
      <c r="J12" s="35" t="s">
        <v>49</v>
      </c>
      <c r="K12" s="36" t="s">
        <v>50</v>
      </c>
      <c r="L12" s="37" t="s">
        <v>51</v>
      </c>
      <c r="M12" s="25" t="s">
        <v>26</v>
      </c>
      <c r="N12" s="11" t="s">
        <v>52</v>
      </c>
      <c r="O12" s="11" t="s">
        <v>53</v>
      </c>
      <c r="P12" s="11" t="s">
        <v>54</v>
      </c>
      <c r="Q12" s="21" t="s">
        <v>55</v>
      </c>
      <c r="R12" s="15"/>
      <c r="S12" s="16" t="str">
        <f t="shared" si="1"/>
        <v>g0v tw hackath67n — 提案 — OpenStreetMap x Wikidata ／ Dennis — 沙發很好黑客松</v>
      </c>
    </row>
    <row r="13" ht="15.0" customHeight="1">
      <c r="A13" s="7">
        <v>3.0</v>
      </c>
      <c r="B13" s="19">
        <v>0.41388888888888886</v>
      </c>
      <c r="C13" s="8"/>
      <c r="D13" s="38" t="s">
        <v>56</v>
      </c>
      <c r="E13" s="11" t="s">
        <v>25</v>
      </c>
      <c r="F13" s="20"/>
      <c r="G13" s="11"/>
      <c r="H13" s="11" t="s">
        <v>57</v>
      </c>
      <c r="I13" s="11" t="s">
        <v>58</v>
      </c>
      <c r="J13" s="39" t="s">
        <v>36</v>
      </c>
      <c r="K13" s="21" t="s">
        <v>59</v>
      </c>
      <c r="L13" s="21" t="s">
        <v>59</v>
      </c>
      <c r="M13" s="25"/>
      <c r="N13" s="11" t="s">
        <v>60</v>
      </c>
      <c r="O13" s="11" t="s">
        <v>61</v>
      </c>
      <c r="P13" s="11"/>
      <c r="Q13" s="11"/>
      <c r="R13" s="15"/>
      <c r="S13" s="16" t="str">
        <f t="shared" si="1"/>
        <v>g0v tw hackath67n — 提案 — 沒有人罷免指南 ／ A4 — 沙發很好黑客松</v>
      </c>
    </row>
    <row r="14" ht="15.0" customHeight="1">
      <c r="A14" s="7">
        <v>4.0</v>
      </c>
      <c r="B14" s="19">
        <v>0.41597222222222224</v>
      </c>
      <c r="C14" s="8"/>
      <c r="D14" s="11" t="s">
        <v>62</v>
      </c>
      <c r="E14" s="11" t="s">
        <v>25</v>
      </c>
      <c r="F14" s="20"/>
      <c r="G14" s="8" t="s">
        <v>41</v>
      </c>
      <c r="H14" s="11" t="s">
        <v>63</v>
      </c>
      <c r="I14" s="11" t="s">
        <v>64</v>
      </c>
      <c r="J14" s="11" t="s">
        <v>65</v>
      </c>
      <c r="K14" s="40" t="s">
        <v>66</v>
      </c>
      <c r="L14" s="21" t="s">
        <v>67</v>
      </c>
      <c r="M14" s="25" t="s">
        <v>26</v>
      </c>
      <c r="N14" s="11" t="s">
        <v>68</v>
      </c>
      <c r="O14" s="11" t="s">
        <v>69</v>
      </c>
      <c r="P14" s="11" t="s">
        <v>70</v>
      </c>
      <c r="Q14" s="13"/>
      <c r="R14" s="15"/>
      <c r="S14" s="16" t="str">
        <f t="shared" si="1"/>
        <v>g0v tw hackath67n — 提案 — Cofacts 真的假的 ／ bil — 沙發很好黑客松</v>
      </c>
    </row>
    <row r="15" ht="15.0" customHeight="1">
      <c r="A15" s="7">
        <v>5.0</v>
      </c>
      <c r="B15" s="19">
        <v>0.41805555555555557</v>
      </c>
      <c r="C15" s="8"/>
      <c r="D15" s="11" t="s">
        <v>71</v>
      </c>
      <c r="E15" s="30" t="s">
        <v>25</v>
      </c>
      <c r="F15" s="20" t="s">
        <v>26</v>
      </c>
      <c r="G15" s="41" t="s">
        <v>72</v>
      </c>
      <c r="H15" s="11" t="s">
        <v>73</v>
      </c>
      <c r="I15" s="11" t="s">
        <v>74</v>
      </c>
      <c r="J15" s="11" t="s">
        <v>75</v>
      </c>
      <c r="K15" s="21" t="s">
        <v>76</v>
      </c>
      <c r="L15" s="21" t="s">
        <v>77</v>
      </c>
      <c r="M15" s="25" t="s">
        <v>26</v>
      </c>
      <c r="N15" s="11" t="s">
        <v>78</v>
      </c>
      <c r="O15" s="11" t="s">
        <v>79</v>
      </c>
      <c r="P15" s="11" t="s">
        <v>80</v>
      </c>
      <c r="Q15" s="11"/>
      <c r="R15" s="15"/>
      <c r="S15" s="16" t="str">
        <f t="shared" si="1"/>
        <v>g0v tw hackath67n — 提案 — 零時小學校 &amp; 學校就學人口推估 ／ chewei — 沙發很好黑客松</v>
      </c>
    </row>
    <row r="16" ht="15.0" customHeight="1">
      <c r="A16" s="7">
        <v>6.0</v>
      </c>
      <c r="B16" s="19">
        <v>0.4201388888888889</v>
      </c>
      <c r="C16" s="8"/>
      <c r="D16" s="11" t="s">
        <v>81</v>
      </c>
      <c r="E16" s="11" t="s">
        <v>25</v>
      </c>
      <c r="F16" s="20" t="s">
        <v>82</v>
      </c>
      <c r="G16" s="11"/>
      <c r="H16" s="11" t="s">
        <v>83</v>
      </c>
      <c r="I16" s="11" t="s">
        <v>83</v>
      </c>
      <c r="J16" s="11"/>
      <c r="K16" s="21" t="s">
        <v>84</v>
      </c>
      <c r="L16" s="21" t="s">
        <v>85</v>
      </c>
      <c r="M16" s="25" t="s">
        <v>26</v>
      </c>
      <c r="N16" s="42"/>
      <c r="O16" s="11"/>
      <c r="P16" s="11"/>
      <c r="Q16" s="11"/>
      <c r="R16" s="15"/>
      <c r="S16" s="16" t="str">
        <f t="shared" si="1"/>
        <v>g0v tw hackath67n — 提案 — g0v 國會松 ／ ronny — 沙發很好黑客松</v>
      </c>
    </row>
    <row r="17" ht="18.0" customHeight="1">
      <c r="A17" s="7">
        <v>7.0</v>
      </c>
      <c r="B17" s="19">
        <v>0.4222222222222222</v>
      </c>
      <c r="C17" s="8"/>
      <c r="D17" s="11" t="s">
        <v>86</v>
      </c>
      <c r="E17" s="11" t="s">
        <v>25</v>
      </c>
      <c r="F17" s="20"/>
      <c r="G17" s="8" t="s">
        <v>87</v>
      </c>
      <c r="H17" s="11" t="s">
        <v>88</v>
      </c>
      <c r="I17" s="11" t="s">
        <v>89</v>
      </c>
      <c r="J17" s="11"/>
      <c r="K17" s="21" t="s">
        <v>90</v>
      </c>
      <c r="L17" s="21" t="s">
        <v>91</v>
      </c>
      <c r="M17" s="25" t="s">
        <v>26</v>
      </c>
      <c r="N17" s="7" t="s">
        <v>92</v>
      </c>
      <c r="O17" s="11"/>
      <c r="P17" s="11" t="s">
        <v>93</v>
      </c>
      <c r="Q17" s="11"/>
      <c r="R17" s="15"/>
      <c r="S17" s="16" t="str">
        <f t="shared" si="1"/>
        <v>g0v tw hackath67n — 提案 — Green Sofa 綠沙發社群 ／ denkeni — 沙發很好黑客松</v>
      </c>
    </row>
    <row r="18" ht="15.0" customHeight="1">
      <c r="A18" s="7">
        <v>8.0</v>
      </c>
      <c r="B18" s="19">
        <v>0.42430555555555555</v>
      </c>
      <c r="C18" s="8"/>
      <c r="D18" s="11" t="s">
        <v>94</v>
      </c>
      <c r="E18" s="11" t="s">
        <v>25</v>
      </c>
      <c r="F18" s="20" t="s">
        <v>82</v>
      </c>
      <c r="G18" s="8" t="s">
        <v>95</v>
      </c>
      <c r="H18" s="11" t="s">
        <v>96</v>
      </c>
      <c r="I18" s="11" t="s">
        <v>97</v>
      </c>
      <c r="J18" s="11"/>
      <c r="K18" s="21" t="s">
        <v>98</v>
      </c>
      <c r="L18" s="21" t="s">
        <v>99</v>
      </c>
      <c r="M18" s="25" t="s">
        <v>26</v>
      </c>
      <c r="N18" s="11" t="s">
        <v>100</v>
      </c>
      <c r="O18" s="11" t="s">
        <v>101</v>
      </c>
      <c r="P18" s="11" t="s">
        <v>102</v>
      </c>
      <c r="Q18" s="11"/>
      <c r="R18" s="15"/>
      <c r="S18" s="16" t="str">
        <f t="shared" si="1"/>
        <v>g0v tw hackath67n — 提案 — 公務人員的公民科技體驗營 ／ ichieh — 沙發很好黑客松</v>
      </c>
    </row>
    <row r="19" ht="15.0" customHeight="1">
      <c r="A19" s="7">
        <v>9.0</v>
      </c>
      <c r="B19" s="19">
        <v>0.4263888888888889</v>
      </c>
      <c r="C19" s="8"/>
      <c r="D19" s="11" t="s">
        <v>103</v>
      </c>
      <c r="E19" s="11" t="s">
        <v>25</v>
      </c>
      <c r="F19" s="20" t="s">
        <v>82</v>
      </c>
      <c r="G19" s="11"/>
      <c r="H19" s="11" t="s">
        <v>104</v>
      </c>
      <c r="I19" s="11" t="s">
        <v>105</v>
      </c>
      <c r="J19" s="11"/>
      <c r="K19" s="21" t="s">
        <v>106</v>
      </c>
      <c r="L19" s="21" t="s">
        <v>107</v>
      </c>
      <c r="M19" s="25" t="s">
        <v>26</v>
      </c>
      <c r="N19" s="11" t="s">
        <v>108</v>
      </c>
      <c r="O19" s="21" t="s">
        <v>109</v>
      </c>
      <c r="P19" s="21" t="s">
        <v>110</v>
      </c>
      <c r="Q19" s="11"/>
      <c r="R19" s="15"/>
      <c r="S19" s="16" t="str">
        <f t="shared" si="1"/>
        <v>g0v tw hackath67n — 提案 — 匿名網路工作坊 ／ Toomore — 沙發很好黑客松</v>
      </c>
    </row>
    <row r="20" ht="15.0" customHeight="1">
      <c r="A20" s="7">
        <v>10.0</v>
      </c>
      <c r="B20" s="19">
        <v>0.4284722222222222</v>
      </c>
      <c r="C20" s="8"/>
      <c r="D20" s="43" t="s">
        <v>111</v>
      </c>
      <c r="E20" s="11" t="s">
        <v>25</v>
      </c>
      <c r="F20" s="20" t="s">
        <v>82</v>
      </c>
      <c r="G20" s="8" t="s">
        <v>41</v>
      </c>
      <c r="H20" s="11" t="s">
        <v>112</v>
      </c>
      <c r="I20" s="11" t="s">
        <v>113</v>
      </c>
      <c r="J20" s="23" t="s">
        <v>36</v>
      </c>
      <c r="K20" s="21" t="s">
        <v>114</v>
      </c>
      <c r="L20" s="21" t="s">
        <v>115</v>
      </c>
      <c r="M20" s="25" t="s">
        <v>26</v>
      </c>
      <c r="N20" s="11" t="s">
        <v>116</v>
      </c>
      <c r="O20" s="11" t="s">
        <v>117</v>
      </c>
      <c r="P20" s="11" t="s">
        <v>118</v>
      </c>
      <c r="Q20" s="11"/>
      <c r="R20" s="15"/>
      <c r="S20" s="16" t="str">
        <f t="shared" si="1"/>
        <v>g0v tw hackath67n — 提案 — 政府四大基金投資的氣候風險 ／ 環境正義基金會 — 沙發很好黑客松</v>
      </c>
    </row>
    <row r="21">
      <c r="A21" s="7">
        <v>11.0</v>
      </c>
      <c r="B21" s="19">
        <v>0.4305555555555556</v>
      </c>
      <c r="C21" s="8"/>
      <c r="D21" s="11" t="s">
        <v>119</v>
      </c>
      <c r="E21" s="11" t="s">
        <v>25</v>
      </c>
      <c r="F21" s="20"/>
      <c r="G21" s="11"/>
      <c r="H21" s="11" t="s">
        <v>120</v>
      </c>
      <c r="I21" s="21" t="s">
        <v>121</v>
      </c>
      <c r="J21" s="11"/>
      <c r="K21" s="37" t="s">
        <v>122</v>
      </c>
      <c r="L21" s="36" t="s">
        <v>123</v>
      </c>
      <c r="M21" s="25"/>
      <c r="N21" s="11"/>
      <c r="O21" s="11"/>
      <c r="P21" s="11"/>
      <c r="Q21" s="11"/>
      <c r="R21" s="15"/>
      <c r="S21" s="16" t="str">
        <f t="shared" si="1"/>
        <v>g0v tw hackath67n — 提案 — app社交工程 ／ Barry&amp;Ashly — 沙發很好黑客松</v>
      </c>
    </row>
    <row r="22" ht="15.0" customHeight="1">
      <c r="A22" s="7">
        <v>13.0</v>
      </c>
      <c r="B22" s="19">
        <v>0.4326388888888889</v>
      </c>
      <c r="C22" s="8"/>
      <c r="D22" s="11" t="s">
        <v>124</v>
      </c>
      <c r="E22" s="11" t="s">
        <v>25</v>
      </c>
      <c r="F22" s="20"/>
      <c r="G22" s="11"/>
      <c r="H22" s="11" t="s">
        <v>125</v>
      </c>
      <c r="I22" s="44" t="s">
        <v>126</v>
      </c>
      <c r="J22" s="11" t="s">
        <v>36</v>
      </c>
      <c r="K22" s="45" t="s">
        <v>127</v>
      </c>
      <c r="L22" s="21" t="s">
        <v>128</v>
      </c>
      <c r="M22" s="25"/>
      <c r="N22" s="11" t="s">
        <v>129</v>
      </c>
      <c r="O22" s="11"/>
      <c r="P22" s="11"/>
      <c r="Q22" s="13"/>
      <c r="R22" s="15"/>
      <c r="S22" s="16" t="str">
        <f t="shared" si="1"/>
        <v>g0v tw hackath67n — 提案 — Biz×Tech ／ AIMU — 沙發很好黑客松</v>
      </c>
    </row>
    <row r="23" ht="15.0" customHeight="1">
      <c r="A23" s="7">
        <v>14.0</v>
      </c>
      <c r="B23" s="19">
        <v>0.43680555555555556</v>
      </c>
      <c r="C23" s="8"/>
      <c r="D23" s="11" t="s">
        <v>130</v>
      </c>
      <c r="E23" s="11" t="s">
        <v>25</v>
      </c>
      <c r="F23" s="20"/>
      <c r="G23" s="43"/>
      <c r="H23" s="43" t="s">
        <v>131</v>
      </c>
      <c r="I23" s="11" t="s">
        <v>132</v>
      </c>
      <c r="J23" s="11" t="s">
        <v>36</v>
      </c>
      <c r="K23" s="46" t="s">
        <v>133</v>
      </c>
      <c r="L23" s="47" t="s">
        <v>133</v>
      </c>
      <c r="M23" s="25"/>
      <c r="N23" s="11" t="s">
        <v>134</v>
      </c>
      <c r="O23" s="11" t="s">
        <v>135</v>
      </c>
      <c r="P23" s="11" t="s">
        <v>136</v>
      </c>
      <c r="Q23" s="11"/>
      <c r="R23" s="15"/>
      <c r="S23" s="16" t="str">
        <f t="shared" si="1"/>
        <v>g0v tw hackath67n — 提案 — 長照SDK ／ Yochi&amp;小四 — 沙發很好黑客松</v>
      </c>
    </row>
    <row r="24" ht="15.0" customHeight="1">
      <c r="A24" s="7">
        <v>15.0</v>
      </c>
      <c r="B24" s="19">
        <v>0.4388888888888889</v>
      </c>
      <c r="C24" s="8"/>
      <c r="D24" s="48" t="s">
        <v>137</v>
      </c>
      <c r="E24" s="11" t="s">
        <v>25</v>
      </c>
      <c r="F24" s="20" t="s">
        <v>26</v>
      </c>
      <c r="G24" s="11"/>
      <c r="H24" s="11" t="s">
        <v>138</v>
      </c>
      <c r="I24" s="11" t="s">
        <v>139</v>
      </c>
      <c r="J24" s="49" t="s">
        <v>140</v>
      </c>
      <c r="K24" s="47" t="s">
        <v>141</v>
      </c>
      <c r="L24" s="21" t="s">
        <v>142</v>
      </c>
      <c r="M24" s="25"/>
      <c r="N24" s="11" t="s">
        <v>143</v>
      </c>
      <c r="O24" s="11" t="s">
        <v>144</v>
      </c>
      <c r="P24" s="11" t="s">
        <v>145</v>
      </c>
      <c r="Q24" s="11"/>
      <c r="R24" s="15"/>
      <c r="S24" s="16" t="str">
        <f t="shared" si="1"/>
        <v>g0v tw hackath67n — 提案 — 海纜斷了網站還會動嗎 ／ Irvin — 沙發很好黑客松</v>
      </c>
    </row>
    <row r="25" ht="15.0" customHeight="1">
      <c r="A25" s="26" t="s">
        <v>146</v>
      </c>
      <c r="S25" s="26"/>
    </row>
    <row r="26" ht="15.0" customHeight="1">
      <c r="A26" s="50" t="s">
        <v>147</v>
      </c>
      <c r="S26" s="26"/>
    </row>
    <row r="27" ht="15.0" customHeight="1">
      <c r="A27" s="11"/>
      <c r="B27" s="19"/>
      <c r="C27" s="8"/>
      <c r="D27" s="51" t="s">
        <v>148</v>
      </c>
      <c r="E27" s="11"/>
      <c r="F27" s="20"/>
      <c r="G27" s="11"/>
      <c r="H27" s="11"/>
      <c r="I27" s="11"/>
      <c r="J27" s="11"/>
      <c r="K27" s="11"/>
      <c r="L27" s="11"/>
      <c r="M27" s="25"/>
      <c r="N27" s="11"/>
      <c r="O27" s="11"/>
      <c r="P27" s="11"/>
      <c r="Q27" s="11"/>
      <c r="R27" s="15"/>
      <c r="S27" s="15"/>
    </row>
    <row r="28" ht="15.0" customHeight="1">
      <c r="A28" s="11"/>
      <c r="B28" s="19"/>
      <c r="C28" s="8"/>
      <c r="D28" s="11"/>
      <c r="E28" s="11"/>
      <c r="F28" s="20"/>
      <c r="G28" s="11"/>
      <c r="H28" s="11"/>
      <c r="I28" s="11"/>
      <c r="J28" s="11"/>
      <c r="K28" s="11"/>
      <c r="L28" s="11"/>
      <c r="M28" s="25"/>
      <c r="N28" s="11"/>
      <c r="O28" s="11"/>
      <c r="P28" s="11"/>
      <c r="Q28" s="11"/>
      <c r="R28" s="15"/>
      <c r="S28" s="15"/>
    </row>
    <row r="29" ht="15.0" customHeight="1">
      <c r="A29" s="52" t="s">
        <v>149</v>
      </c>
      <c r="S29" s="53"/>
    </row>
    <row r="30" ht="15.0" customHeight="1">
      <c r="A30" s="11"/>
      <c r="B30" s="19"/>
      <c r="C30" s="8"/>
      <c r="D30" s="11" t="s">
        <v>24</v>
      </c>
      <c r="E30" s="11"/>
      <c r="F30" s="11"/>
      <c r="G30" s="11"/>
      <c r="H30" s="11"/>
      <c r="I30" s="11"/>
      <c r="J30" s="11"/>
      <c r="K30" s="11"/>
      <c r="L30" s="11"/>
      <c r="M30" s="14"/>
      <c r="N30" s="11"/>
      <c r="O30" s="11"/>
      <c r="P30" s="11"/>
      <c r="Q30" s="11"/>
      <c r="R30" s="15"/>
      <c r="S30" s="15"/>
    </row>
    <row r="31" ht="15.0" customHeight="1">
      <c r="A31" s="11"/>
      <c r="B31" s="19"/>
      <c r="C31" s="8"/>
      <c r="D31" s="11"/>
      <c r="E31" s="11"/>
      <c r="F31" s="11"/>
      <c r="G31" s="11"/>
      <c r="H31" s="11"/>
      <c r="I31" s="11"/>
      <c r="J31" s="11"/>
      <c r="K31" s="11"/>
      <c r="L31" s="11"/>
      <c r="M31" s="14"/>
      <c r="N31" s="11"/>
      <c r="O31" s="11"/>
      <c r="P31" s="11"/>
      <c r="Q31" s="11"/>
      <c r="R31" s="15"/>
      <c r="S31" s="15"/>
    </row>
    <row r="32" ht="15.0" customHeight="1">
      <c r="A32" s="11"/>
      <c r="B32" s="19"/>
      <c r="C32" s="8"/>
      <c r="D32" s="11"/>
      <c r="E32" s="11"/>
      <c r="F32" s="11"/>
      <c r="G32" s="11"/>
      <c r="H32" s="11"/>
      <c r="I32" s="11"/>
      <c r="J32" s="11"/>
      <c r="K32" s="11"/>
      <c r="L32" s="11"/>
      <c r="M32" s="14"/>
      <c r="N32" s="11"/>
      <c r="O32" s="11"/>
      <c r="P32" s="11"/>
      <c r="Q32" s="11"/>
      <c r="R32" s="15"/>
      <c r="S32" s="15"/>
    </row>
    <row r="33" ht="15.0" customHeight="1">
      <c r="A33" s="11"/>
      <c r="B33" s="19"/>
      <c r="C33" s="8"/>
      <c r="D33" s="11"/>
      <c r="E33" s="11"/>
      <c r="F33" s="11"/>
      <c r="G33" s="11"/>
      <c r="H33" s="11"/>
      <c r="I33" s="11"/>
      <c r="J33" s="11"/>
      <c r="K33" s="11"/>
      <c r="L33" s="11"/>
      <c r="M33" s="14"/>
      <c r="N33" s="11"/>
      <c r="O33" s="11"/>
      <c r="P33" s="11"/>
      <c r="Q33" s="11"/>
      <c r="R33" s="15"/>
      <c r="S33" s="15"/>
    </row>
    <row r="34" ht="15.0" customHeight="1">
      <c r="A34" s="26" t="s">
        <v>150</v>
      </c>
      <c r="S34" s="54"/>
    </row>
    <row r="35" ht="113.25" customHeight="1">
      <c r="A35" s="11"/>
      <c r="B35" s="9"/>
      <c r="C35" s="9" t="s">
        <v>151</v>
      </c>
      <c r="D35" s="55" t="s">
        <v>152</v>
      </c>
      <c r="I35" s="56" t="s">
        <v>153</v>
      </c>
      <c r="J35" s="11"/>
      <c r="K35" s="11"/>
      <c r="L35" s="11"/>
      <c r="M35" s="14"/>
      <c r="N35" s="11"/>
      <c r="O35" s="11"/>
      <c r="P35" s="11"/>
      <c r="Q35" s="11"/>
      <c r="R35" s="15"/>
      <c r="S35" s="15"/>
    </row>
    <row r="36" ht="15.0" customHeight="1">
      <c r="A36" s="11"/>
      <c r="B36" s="9"/>
      <c r="C36" s="9"/>
      <c r="D36" s="8"/>
      <c r="E36" s="11"/>
      <c r="F36" s="11"/>
      <c r="G36" s="11"/>
      <c r="H36" s="11"/>
      <c r="I36" s="11"/>
      <c r="J36" s="11"/>
      <c r="K36" s="11"/>
      <c r="L36" s="11"/>
      <c r="M36" s="14"/>
      <c r="N36" s="11"/>
      <c r="O36" s="11"/>
      <c r="P36" s="11"/>
      <c r="Q36" s="11"/>
      <c r="R36" s="15"/>
      <c r="S36" s="15"/>
    </row>
    <row r="37" ht="15.0" customHeight="1">
      <c r="A37" s="26" t="s">
        <v>154</v>
      </c>
      <c r="S37" s="54"/>
    </row>
    <row r="38" ht="15.0" customHeight="1">
      <c r="A38" s="11"/>
      <c r="B38" s="19"/>
      <c r="C38" s="8"/>
      <c r="D38" s="57" t="s">
        <v>155</v>
      </c>
      <c r="E38" s="11"/>
      <c r="F38" s="11"/>
      <c r="G38" s="11"/>
      <c r="H38" s="11"/>
      <c r="I38" s="11"/>
      <c r="J38" s="11"/>
      <c r="K38" s="11"/>
      <c r="L38" s="11"/>
      <c r="M38" s="14"/>
      <c r="N38" s="11"/>
      <c r="O38" s="11"/>
      <c r="P38" s="11"/>
      <c r="Q38" s="11"/>
      <c r="R38" s="15"/>
      <c r="S38" s="15"/>
    </row>
    <row r="39" ht="15.0" customHeight="1">
      <c r="A39" s="11"/>
      <c r="B39" s="19"/>
      <c r="C39" s="8"/>
      <c r="D39" s="11"/>
      <c r="E39" s="11"/>
      <c r="F39" s="11"/>
      <c r="G39" s="11"/>
      <c r="H39" s="11"/>
      <c r="I39" s="11"/>
      <c r="J39" s="11"/>
      <c r="K39" s="11"/>
      <c r="L39" s="11"/>
      <c r="M39" s="14"/>
      <c r="N39" s="11"/>
      <c r="O39" s="11"/>
      <c r="P39" s="11"/>
      <c r="Q39" s="11"/>
      <c r="R39" s="15"/>
      <c r="S39" s="15"/>
    </row>
    <row r="40" ht="15.0" customHeight="1">
      <c r="A40" s="11"/>
      <c r="B40" s="19"/>
      <c r="C40" s="8"/>
      <c r="D40" s="56"/>
      <c r="E40" s="11"/>
      <c r="F40" s="11"/>
      <c r="G40" s="11"/>
      <c r="H40" s="11"/>
      <c r="I40" s="11"/>
      <c r="J40" s="11"/>
      <c r="K40" s="11"/>
      <c r="L40" s="11"/>
      <c r="M40" s="14"/>
      <c r="N40" s="11"/>
      <c r="O40" s="11"/>
      <c r="P40" s="11"/>
      <c r="Q40" s="11"/>
      <c r="R40" s="15"/>
      <c r="S40" s="15"/>
    </row>
    <row r="41" ht="15.0" customHeight="1">
      <c r="A41" s="26" t="s">
        <v>156</v>
      </c>
      <c r="S41" s="54"/>
    </row>
    <row r="42" ht="102.0" customHeight="1">
      <c r="A42" s="11"/>
      <c r="B42" s="19"/>
      <c r="C42" s="9" t="s">
        <v>151</v>
      </c>
      <c r="D42" s="58" t="s">
        <v>157</v>
      </c>
      <c r="E42" s="11"/>
      <c r="F42" s="11"/>
      <c r="G42" s="11"/>
      <c r="H42" s="58" t="s">
        <v>158</v>
      </c>
      <c r="I42" s="59"/>
      <c r="J42" s="11"/>
      <c r="K42" s="11"/>
      <c r="L42" s="11"/>
      <c r="M42" s="14"/>
      <c r="N42" s="11"/>
      <c r="O42" s="11"/>
      <c r="P42" s="11"/>
      <c r="Q42" s="11"/>
      <c r="R42" s="15"/>
      <c r="S42" s="15"/>
    </row>
    <row r="43" ht="14.25" customHeight="1">
      <c r="A43" s="11"/>
      <c r="B43" s="19"/>
      <c r="C43" s="8"/>
      <c r="D43" s="11"/>
      <c r="E43" s="11"/>
      <c r="F43" s="11"/>
      <c r="G43" s="11"/>
      <c r="H43" s="11"/>
      <c r="I43" s="11"/>
      <c r="J43" s="11"/>
      <c r="K43" s="11"/>
      <c r="L43" s="11"/>
      <c r="M43" s="14"/>
      <c r="N43" s="11"/>
      <c r="O43" s="11"/>
      <c r="P43" s="11"/>
      <c r="Q43" s="11"/>
      <c r="R43" s="15"/>
      <c r="S43" s="15"/>
    </row>
    <row r="44" ht="28.5" customHeight="1">
      <c r="A44" s="26" t="s">
        <v>159</v>
      </c>
      <c r="S44" s="54"/>
    </row>
    <row r="45" ht="14.25" customHeight="1">
      <c r="A45" s="11"/>
      <c r="B45" s="19"/>
      <c r="C45" s="8"/>
      <c r="D45" s="11" t="s">
        <v>160</v>
      </c>
      <c r="E45" s="11"/>
      <c r="F45" s="11"/>
      <c r="G45" s="11"/>
      <c r="H45" s="11"/>
      <c r="I45" s="11"/>
      <c r="J45" s="11"/>
      <c r="K45" s="11"/>
      <c r="L45" s="11"/>
      <c r="M45" s="14"/>
      <c r="N45" s="11"/>
      <c r="O45" s="11"/>
      <c r="P45" s="11"/>
      <c r="Q45" s="11"/>
      <c r="R45" s="15"/>
      <c r="S45" s="15"/>
    </row>
    <row r="46" ht="14.25" customHeight="1">
      <c r="A46" s="11"/>
      <c r="B46" s="19"/>
      <c r="C46" s="8"/>
      <c r="D46" s="11"/>
      <c r="E46" s="11"/>
      <c r="F46" s="11"/>
      <c r="G46" s="11"/>
      <c r="H46" s="11"/>
      <c r="I46" s="11"/>
      <c r="J46" s="11"/>
      <c r="K46" s="11"/>
      <c r="L46" s="11"/>
      <c r="M46" s="14"/>
      <c r="N46" s="11"/>
      <c r="O46" s="11"/>
      <c r="P46" s="11"/>
      <c r="Q46" s="11"/>
      <c r="R46" s="15"/>
      <c r="S46" s="15"/>
    </row>
    <row r="47" ht="27.75" customHeight="1">
      <c r="A47" s="26" t="s">
        <v>161</v>
      </c>
      <c r="S47" s="54"/>
    </row>
    <row r="48" ht="14.25" customHeight="1">
      <c r="A48" s="11"/>
      <c r="B48" s="19"/>
      <c r="C48" s="8"/>
      <c r="D48" s="11" t="s">
        <v>162</v>
      </c>
      <c r="J48" s="11"/>
      <c r="K48" s="11"/>
      <c r="L48" s="11"/>
      <c r="M48" s="14"/>
      <c r="N48" s="11"/>
      <c r="O48" s="11"/>
      <c r="P48" s="11"/>
      <c r="Q48" s="11"/>
      <c r="R48" s="15"/>
      <c r="S48" s="15"/>
    </row>
    <row r="49" ht="15.0" customHeight="1">
      <c r="A49" s="11"/>
      <c r="B49" s="19"/>
      <c r="C49" s="8"/>
      <c r="E49" s="11"/>
      <c r="F49" s="11"/>
      <c r="G49" s="11"/>
      <c r="H49" s="11"/>
      <c r="I49" s="11"/>
      <c r="J49" s="11"/>
      <c r="K49" s="11"/>
      <c r="L49" s="11"/>
      <c r="M49" s="14"/>
      <c r="N49" s="11"/>
      <c r="O49" s="11"/>
      <c r="P49" s="11"/>
      <c r="Q49" s="11"/>
      <c r="R49" s="15"/>
      <c r="S49" s="15"/>
    </row>
    <row r="50" ht="15.0" customHeight="1">
      <c r="A50" s="26" t="s">
        <v>163</v>
      </c>
      <c r="S50" s="54"/>
    </row>
    <row r="51" ht="15.0" customHeight="1">
      <c r="A51" s="5" t="s">
        <v>164</v>
      </c>
      <c r="B51" s="5" t="s">
        <v>165</v>
      </c>
      <c r="C51" s="1" t="s">
        <v>1</v>
      </c>
      <c r="D51" s="1" t="s">
        <v>2</v>
      </c>
      <c r="E51" s="1" t="s">
        <v>3</v>
      </c>
      <c r="F51" s="3" t="s">
        <v>166</v>
      </c>
      <c r="G51" s="8" t="s">
        <v>27</v>
      </c>
      <c r="H51" s="1" t="s">
        <v>6</v>
      </c>
      <c r="I51" s="1" t="s">
        <v>7</v>
      </c>
      <c r="J51" s="1" t="s">
        <v>8</v>
      </c>
      <c r="K51" s="1" t="s">
        <v>9</v>
      </c>
      <c r="L51" s="1" t="s">
        <v>167</v>
      </c>
      <c r="M51" s="1" t="s">
        <v>11</v>
      </c>
      <c r="N51" s="1" t="s">
        <v>168</v>
      </c>
      <c r="O51" s="1" t="s">
        <v>169</v>
      </c>
      <c r="P51" s="1" t="s">
        <v>170</v>
      </c>
      <c r="Q51" s="60"/>
      <c r="R51" s="60"/>
      <c r="S51" s="61" t="str">
        <f>"g0v tw hackathXXn — 中場短講 — "&amp;H51&amp;" ／ "&amp;D51&amp;" — XXX黑客松"</f>
        <v>g0v tw hackathXXn — 中場短講 — 專案名稱
Project Name ／ 發表者
Presenter — XXX黑客松</v>
      </c>
    </row>
    <row r="52" ht="15.0" customHeight="1">
      <c r="A52" s="62">
        <v>1.0</v>
      </c>
      <c r="B52" s="19">
        <v>0.6597222222222222</v>
      </c>
      <c r="C52" s="8"/>
      <c r="D52" s="43" t="s">
        <v>111</v>
      </c>
      <c r="E52" s="11" t="s">
        <v>25</v>
      </c>
      <c r="F52" s="20" t="s">
        <v>171</v>
      </c>
      <c r="G52" s="8" t="s">
        <v>27</v>
      </c>
      <c r="H52" s="11" t="s">
        <v>112</v>
      </c>
      <c r="I52" s="11"/>
      <c r="J52" s="23" t="s">
        <v>36</v>
      </c>
      <c r="L52" s="38"/>
      <c r="M52" s="11" t="s">
        <v>26</v>
      </c>
      <c r="N52" s="11" t="s">
        <v>116</v>
      </c>
      <c r="O52" s="11" t="s">
        <v>172</v>
      </c>
      <c r="P52" s="11" t="s">
        <v>118</v>
      </c>
      <c r="Q52" s="38"/>
      <c r="R52" s="63"/>
      <c r="S52" s="63"/>
    </row>
    <row r="53" ht="15.0" customHeight="1">
      <c r="A53" s="62">
        <v>2.0</v>
      </c>
      <c r="B53" s="19">
        <v>0.6666666666666666</v>
      </c>
      <c r="C53" s="8"/>
      <c r="D53" s="38" t="s">
        <v>137</v>
      </c>
      <c r="E53" s="11" t="s">
        <v>25</v>
      </c>
      <c r="F53" s="20" t="s">
        <v>26</v>
      </c>
      <c r="G53" s="8" t="s">
        <v>27</v>
      </c>
      <c r="H53" s="38" t="s">
        <v>173</v>
      </c>
      <c r="I53" s="38" t="s">
        <v>174</v>
      </c>
      <c r="J53" s="11" t="s">
        <v>140</v>
      </c>
      <c r="K53" s="64" t="s">
        <v>175</v>
      </c>
      <c r="L53" s="47" t="s">
        <v>141</v>
      </c>
      <c r="M53" s="38" t="s">
        <v>26</v>
      </c>
      <c r="N53" s="38" t="s">
        <v>176</v>
      </c>
      <c r="O53" s="11" t="s">
        <v>177</v>
      </c>
      <c r="P53" s="11" t="s">
        <v>178</v>
      </c>
      <c r="Q53" s="38"/>
      <c r="R53" s="63"/>
      <c r="S53" s="63"/>
    </row>
    <row r="54" ht="15.0" customHeight="1">
      <c r="A54" s="65"/>
      <c r="B54" s="66"/>
      <c r="C54" s="67"/>
      <c r="D54" s="68" t="s">
        <v>148</v>
      </c>
      <c r="E54" s="66"/>
      <c r="F54" s="67"/>
      <c r="G54" s="69"/>
      <c r="H54" s="69"/>
      <c r="I54" s="69"/>
      <c r="J54" s="65"/>
      <c r="K54" s="65"/>
      <c r="L54" s="65"/>
      <c r="M54" s="65"/>
      <c r="N54" s="65"/>
      <c r="O54" s="65"/>
      <c r="P54" s="65"/>
      <c r="Q54" s="69"/>
      <c r="R54" s="65"/>
      <c r="S54" s="65"/>
    </row>
    <row r="55" ht="15.0" customHeight="1">
      <c r="A55" s="11"/>
      <c r="B55" s="8" t="s">
        <v>179</v>
      </c>
      <c r="C55" s="70"/>
      <c r="D55" s="11" t="s">
        <v>119</v>
      </c>
      <c r="E55" s="11" t="s">
        <v>25</v>
      </c>
      <c r="F55" s="71"/>
      <c r="G55" s="15"/>
      <c r="H55" s="15"/>
      <c r="I55" s="11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5"/>
      <c r="B56" s="70"/>
      <c r="C56" s="70"/>
      <c r="D56" s="15"/>
      <c r="E56" s="15"/>
      <c r="F56" s="7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5.0" customHeight="1">
      <c r="A57" s="26" t="s">
        <v>180</v>
      </c>
      <c r="S57" s="54"/>
    </row>
    <row r="58" ht="43.5" customHeight="1">
      <c r="A58" s="72">
        <v>1.0</v>
      </c>
      <c r="B58" s="73">
        <v>0.6875</v>
      </c>
      <c r="C58" s="8"/>
      <c r="D58" s="11" t="s">
        <v>181</v>
      </c>
      <c r="E58" s="11" t="s">
        <v>25</v>
      </c>
      <c r="F58" s="20" t="s">
        <v>26</v>
      </c>
      <c r="G58" s="8" t="s">
        <v>27</v>
      </c>
      <c r="H58" s="23" t="s">
        <v>34</v>
      </c>
      <c r="I58" s="23" t="s">
        <v>182</v>
      </c>
      <c r="J58" s="23" t="s">
        <v>36</v>
      </c>
      <c r="K58" s="74" t="s">
        <v>37</v>
      </c>
      <c r="L58" s="13"/>
      <c r="M58" s="11"/>
      <c r="N58" s="11"/>
      <c r="O58" s="11"/>
      <c r="P58" s="11"/>
      <c r="Q58" s="11"/>
      <c r="R58" s="11"/>
      <c r="S58" s="16" t="str">
        <f>"g0v tw hackathXXn — 成果報告 — "&amp;H58&amp;" ／ "&amp;D58&amp;" — XXX黑客松"</f>
        <v>g0v tw hackathXXn — 成果報告 — 零世代資金池 Generation Zero Vestment ／ 揪松團 Jothon — XXX黑客松</v>
      </c>
    </row>
    <row r="59" ht="15.0" customHeight="1">
      <c r="A59" s="72">
        <v>2.0</v>
      </c>
      <c r="B59" s="73">
        <v>0.6909722222222222</v>
      </c>
      <c r="C59" s="8"/>
      <c r="D59" s="11" t="s">
        <v>183</v>
      </c>
      <c r="E59" s="11" t="s">
        <v>25</v>
      </c>
      <c r="F59" s="20" t="s">
        <v>26</v>
      </c>
      <c r="G59" s="8" t="s">
        <v>27</v>
      </c>
      <c r="H59" s="75" t="s">
        <v>184</v>
      </c>
      <c r="I59" s="75" t="s">
        <v>185</v>
      </c>
      <c r="J59" s="76" t="s">
        <v>186</v>
      </c>
      <c r="K59" s="21" t="s">
        <v>187</v>
      </c>
      <c r="L59" s="11"/>
      <c r="M59" s="11"/>
      <c r="N59" s="11"/>
      <c r="O59" s="11"/>
      <c r="P59" s="77"/>
      <c r="Q59" s="11"/>
      <c r="R59" s="15"/>
      <c r="S59" s="15"/>
    </row>
    <row r="60" ht="15.0" customHeight="1">
      <c r="A60" s="72">
        <v>3.0</v>
      </c>
      <c r="B60" s="73">
        <v>0.6944444444444444</v>
      </c>
      <c r="C60" s="8"/>
      <c r="D60" s="11" t="s">
        <v>188</v>
      </c>
      <c r="E60" s="11" t="s">
        <v>25</v>
      </c>
      <c r="F60" s="20" t="s">
        <v>26</v>
      </c>
      <c r="G60" s="8" t="s">
        <v>27</v>
      </c>
      <c r="H60" s="11" t="s">
        <v>189</v>
      </c>
      <c r="I60" s="11" t="s">
        <v>190</v>
      </c>
      <c r="J60" s="39"/>
      <c r="K60" s="21" t="s">
        <v>191</v>
      </c>
      <c r="L60" s="11"/>
      <c r="M60" s="11"/>
      <c r="N60" s="78"/>
      <c r="O60" s="78"/>
      <c r="P60" s="78"/>
      <c r="Q60" s="11"/>
      <c r="R60" s="15"/>
      <c r="S60" s="15"/>
    </row>
    <row r="61" ht="15.0" customHeight="1">
      <c r="A61" s="72">
        <v>4.0</v>
      </c>
      <c r="B61" s="73">
        <v>0.6979166666666666</v>
      </c>
      <c r="C61" s="8"/>
      <c r="D61" s="79" t="s">
        <v>192</v>
      </c>
      <c r="E61" s="11"/>
      <c r="F61" s="20"/>
      <c r="G61" s="8" t="s">
        <v>27</v>
      </c>
      <c r="H61" s="11" t="s">
        <v>193</v>
      </c>
      <c r="I61" s="11"/>
      <c r="J61" s="11"/>
      <c r="K61" s="11"/>
      <c r="L61" s="13"/>
      <c r="M61" s="11"/>
      <c r="N61" s="11"/>
      <c r="O61" s="11"/>
      <c r="P61" s="11"/>
      <c r="Q61" s="11"/>
      <c r="R61" s="15"/>
      <c r="S61" s="15"/>
    </row>
    <row r="62" ht="15.0" customHeight="1">
      <c r="A62" s="72">
        <v>5.0</v>
      </c>
      <c r="B62" s="73">
        <v>0.7013888888888888</v>
      </c>
      <c r="C62" s="8"/>
      <c r="D62" s="11"/>
      <c r="E62" s="11"/>
      <c r="F62" s="20"/>
      <c r="G62" s="8" t="s">
        <v>27</v>
      </c>
      <c r="H62" s="11" t="s">
        <v>194</v>
      </c>
      <c r="I62" s="11" t="s">
        <v>195</v>
      </c>
      <c r="J62" s="11" t="s">
        <v>196</v>
      </c>
      <c r="K62" s="21" t="s">
        <v>121</v>
      </c>
      <c r="L62" s="21" t="s">
        <v>121</v>
      </c>
      <c r="M62" s="42"/>
      <c r="N62" s="80"/>
      <c r="O62" s="11"/>
      <c r="P62" s="11"/>
      <c r="Q62" s="11"/>
      <c r="R62" s="15"/>
      <c r="S62" s="15"/>
    </row>
    <row r="63" ht="15.0" customHeight="1">
      <c r="A63" s="72">
        <v>6.0</v>
      </c>
      <c r="B63" s="73">
        <v>0.7048611111111112</v>
      </c>
      <c r="C63" s="8"/>
      <c r="D63" s="11"/>
      <c r="E63" s="11"/>
      <c r="F63" s="20"/>
      <c r="G63" s="8" t="s">
        <v>27</v>
      </c>
      <c r="H63" s="11"/>
      <c r="I63" s="11"/>
      <c r="J63" s="11"/>
      <c r="K63" s="81"/>
      <c r="L63" s="82"/>
      <c r="M63" s="11"/>
      <c r="N63" s="15"/>
      <c r="O63" s="15"/>
      <c r="P63" s="15"/>
      <c r="Q63" s="15"/>
      <c r="R63" s="15"/>
      <c r="S63" s="15"/>
    </row>
    <row r="64" ht="15.0" customHeight="1">
      <c r="A64" s="72">
        <v>7.0</v>
      </c>
      <c r="B64" s="73">
        <v>0.7083333333333334</v>
      </c>
      <c r="C64" s="8"/>
      <c r="D64" s="11" t="s">
        <v>56</v>
      </c>
      <c r="E64" s="11" t="s">
        <v>25</v>
      </c>
      <c r="F64" s="20" t="s">
        <v>26</v>
      </c>
      <c r="G64" s="8" t="s">
        <v>27</v>
      </c>
      <c r="H64" s="75" t="s">
        <v>57</v>
      </c>
      <c r="I64" s="11" t="s">
        <v>58</v>
      </c>
      <c r="J64" s="39"/>
      <c r="K64" s="21" t="s">
        <v>59</v>
      </c>
      <c r="L64" s="13"/>
      <c r="M64" s="11"/>
      <c r="N64" s="11"/>
      <c r="O64" s="11"/>
      <c r="P64" s="77"/>
      <c r="Q64" s="11"/>
      <c r="R64" s="11"/>
      <c r="S64" s="11"/>
    </row>
    <row r="65" ht="15.0" customHeight="1">
      <c r="A65" s="72">
        <v>8.0</v>
      </c>
      <c r="B65" s="73">
        <v>0.7118055555555556</v>
      </c>
      <c r="C65" s="8"/>
      <c r="D65" s="11"/>
      <c r="E65" s="11"/>
      <c r="F65" s="20"/>
      <c r="G65" s="8" t="s">
        <v>27</v>
      </c>
      <c r="J65" s="39"/>
      <c r="K65" s="81"/>
      <c r="L65" s="11"/>
      <c r="M65" s="11"/>
      <c r="N65" s="11"/>
      <c r="O65" s="11"/>
      <c r="P65" s="77"/>
      <c r="Q65" s="11"/>
      <c r="R65" s="11"/>
      <c r="S65" s="11"/>
    </row>
    <row r="66" ht="15.0" customHeight="1">
      <c r="A66" s="72">
        <v>9.0</v>
      </c>
      <c r="B66" s="73">
        <v>0.7152777777777778</v>
      </c>
      <c r="C66" s="8"/>
      <c r="D66" s="11"/>
      <c r="E66" s="11"/>
      <c r="F66" s="20"/>
      <c r="G66" s="8" t="s">
        <v>27</v>
      </c>
      <c r="H66" s="11"/>
      <c r="I66" s="11"/>
      <c r="J66" s="39"/>
      <c r="K66" s="83"/>
      <c r="L66" s="84"/>
      <c r="M66" s="11"/>
      <c r="N66" s="11"/>
      <c r="O66" s="11"/>
      <c r="P66" s="11"/>
      <c r="Q66" s="11"/>
      <c r="R66" s="11"/>
      <c r="S66" s="11"/>
    </row>
    <row r="67" ht="15.0" customHeight="1">
      <c r="A67" s="11">
        <v>10.0</v>
      </c>
      <c r="B67" s="73">
        <v>0.71875</v>
      </c>
      <c r="C67" s="8"/>
      <c r="D67" s="11"/>
      <c r="E67" s="11"/>
      <c r="F67" s="20"/>
      <c r="G67" s="8" t="s">
        <v>27</v>
      </c>
      <c r="H67" s="11"/>
      <c r="I67" s="11"/>
      <c r="J67" s="39"/>
      <c r="K67" s="83"/>
      <c r="L67" s="84"/>
      <c r="M67" s="11"/>
      <c r="N67" s="11"/>
      <c r="O67" s="11"/>
      <c r="P67" s="11"/>
      <c r="Q67" s="11"/>
      <c r="R67" s="11"/>
      <c r="S67" s="11"/>
    </row>
    <row r="68" ht="15.0" customHeight="1">
      <c r="A68" s="11">
        <v>11.0</v>
      </c>
      <c r="B68" s="73">
        <v>0.7222222222222222</v>
      </c>
      <c r="C68" s="8"/>
      <c r="D68" s="11"/>
      <c r="E68" s="11"/>
      <c r="F68" s="20"/>
      <c r="G68" s="8" t="s">
        <v>27</v>
      </c>
      <c r="H68" s="11"/>
      <c r="I68" s="11"/>
      <c r="J68" s="39"/>
      <c r="K68" s="83"/>
      <c r="L68" s="84"/>
      <c r="M68" s="11"/>
      <c r="N68" s="11"/>
      <c r="O68" s="11"/>
      <c r="P68" s="11"/>
      <c r="Q68" s="11"/>
      <c r="R68" s="11"/>
      <c r="S68" s="11"/>
    </row>
    <row r="69" ht="15.0" customHeight="1">
      <c r="A69" s="11"/>
      <c r="B69" s="73"/>
      <c r="C69" s="8"/>
      <c r="D69" s="11"/>
      <c r="E69" s="11"/>
      <c r="F69" s="20"/>
      <c r="G69" s="8"/>
      <c r="H69" s="11"/>
      <c r="I69" s="11"/>
      <c r="J69" s="39"/>
      <c r="K69" s="83"/>
      <c r="L69" s="84"/>
      <c r="M69" s="11"/>
      <c r="N69" s="11"/>
      <c r="O69" s="11"/>
      <c r="P69" s="11"/>
      <c r="Q69" s="11"/>
      <c r="R69" s="11"/>
      <c r="S69" s="11"/>
    </row>
    <row r="70" ht="15.0" customHeight="1">
      <c r="A70" s="26" t="s">
        <v>197</v>
      </c>
      <c r="S70" s="26"/>
    </row>
    <row r="71" ht="15.0" customHeight="1">
      <c r="A71" s="11">
        <v>16.0</v>
      </c>
      <c r="B71" s="73">
        <v>0.7291666666666666</v>
      </c>
      <c r="C71" s="70"/>
      <c r="D71" s="11"/>
      <c r="E71" s="11"/>
      <c r="F71" s="20"/>
      <c r="G71" s="11"/>
      <c r="H71" s="11"/>
      <c r="I71" s="11"/>
      <c r="J71" s="39"/>
      <c r="K71" s="83"/>
      <c r="L71" s="11"/>
      <c r="M71" s="11"/>
      <c r="N71" s="11"/>
      <c r="O71" s="11"/>
      <c r="P71" s="11"/>
      <c r="Q71" s="11"/>
      <c r="R71" s="15"/>
      <c r="S71" s="15"/>
    </row>
    <row r="72" ht="15.0" customHeight="1">
      <c r="A72" s="11">
        <v>17.0</v>
      </c>
      <c r="B72" s="73">
        <v>0.73125</v>
      </c>
      <c r="C72" s="70"/>
      <c r="D72" s="11"/>
      <c r="E72" s="11"/>
      <c r="F72" s="20"/>
      <c r="G72" s="11"/>
      <c r="H72" s="11"/>
      <c r="I72" s="11"/>
      <c r="J72" s="39"/>
      <c r="K72" s="83"/>
      <c r="L72" s="11"/>
      <c r="M72" s="11"/>
      <c r="N72" s="11"/>
      <c r="O72" s="11"/>
      <c r="P72" s="11"/>
      <c r="Q72" s="11"/>
      <c r="R72" s="15"/>
      <c r="S72" s="15"/>
    </row>
    <row r="73" ht="15.0" customHeight="1">
      <c r="A73" s="11">
        <v>18.0</v>
      </c>
      <c r="B73" s="73">
        <v>0.7333333333333333</v>
      </c>
      <c r="C73" s="70"/>
      <c r="D73" s="11"/>
      <c r="E73" s="11"/>
      <c r="F73" s="20"/>
      <c r="G73" s="11"/>
      <c r="H73" s="11"/>
      <c r="I73" s="11"/>
      <c r="J73" s="39"/>
      <c r="K73" s="83"/>
      <c r="L73" s="11"/>
      <c r="M73" s="11"/>
      <c r="N73" s="11"/>
      <c r="O73" s="11"/>
      <c r="P73" s="11"/>
      <c r="Q73" s="11"/>
      <c r="R73" s="15"/>
      <c r="S73" s="15"/>
    </row>
    <row r="74" ht="15.0" customHeight="1">
      <c r="A74" s="11">
        <v>19.0</v>
      </c>
      <c r="B74" s="73">
        <v>0.7354166666666667</v>
      </c>
      <c r="C74" s="70"/>
      <c r="D74" s="11"/>
      <c r="E74" s="11"/>
      <c r="F74" s="20"/>
      <c r="G74" s="11"/>
      <c r="H74" s="11"/>
      <c r="I74" s="11"/>
      <c r="J74" s="39"/>
      <c r="K74" s="83"/>
      <c r="L74" s="11"/>
      <c r="M74" s="11"/>
      <c r="N74" s="11"/>
      <c r="O74" s="11"/>
      <c r="P74" s="11"/>
      <c r="Q74" s="11"/>
      <c r="R74" s="15"/>
      <c r="S74" s="15"/>
    </row>
    <row r="75" ht="15.0" customHeight="1">
      <c r="A75" s="11">
        <v>20.0</v>
      </c>
      <c r="B75" s="73">
        <v>0.7375</v>
      </c>
      <c r="C75" s="70"/>
      <c r="D75" s="11"/>
      <c r="E75" s="11"/>
      <c r="F75" s="20"/>
      <c r="G75" s="11"/>
      <c r="H75" s="11"/>
      <c r="I75" s="11"/>
      <c r="J75" s="39"/>
      <c r="K75" s="83"/>
      <c r="L75" s="11"/>
      <c r="M75" s="11"/>
      <c r="N75" s="11"/>
      <c r="O75" s="11"/>
      <c r="P75" s="11"/>
      <c r="Q75" s="11"/>
      <c r="R75" s="15"/>
      <c r="S75" s="15"/>
    </row>
    <row r="76" ht="15.0" customHeight="1">
      <c r="A76" s="11"/>
      <c r="B76" s="73"/>
      <c r="C76" s="70"/>
      <c r="D76" s="11"/>
      <c r="E76" s="11"/>
      <c r="F76" s="20"/>
      <c r="G76" s="11"/>
      <c r="H76" s="11"/>
      <c r="I76" s="11"/>
      <c r="J76" s="39"/>
      <c r="K76" s="83"/>
      <c r="L76" s="11"/>
      <c r="M76" s="11"/>
      <c r="N76" s="11"/>
      <c r="O76" s="11"/>
      <c r="P76" s="11"/>
      <c r="Q76" s="11"/>
      <c r="R76" s="15"/>
      <c r="S76" s="15"/>
    </row>
    <row r="77" ht="15.0" customHeight="1">
      <c r="A77" s="26" t="s">
        <v>198</v>
      </c>
      <c r="S77" s="54"/>
    </row>
    <row r="78" ht="15.0" customHeight="1">
      <c r="A78" s="11"/>
      <c r="B78" s="9"/>
      <c r="C78" s="9" t="s">
        <v>151</v>
      </c>
      <c r="D78" s="55" t="s">
        <v>199</v>
      </c>
      <c r="I78" s="56"/>
      <c r="J78" s="11"/>
      <c r="K78" s="11"/>
      <c r="L78" s="11"/>
      <c r="M78" s="14"/>
      <c r="N78" s="11"/>
      <c r="O78" s="11"/>
      <c r="P78" s="11"/>
      <c r="Q78" s="11"/>
      <c r="R78" s="15"/>
      <c r="S78" s="15"/>
    </row>
    <row r="79" ht="15.0" customHeight="1">
      <c r="A79" s="72"/>
      <c r="B79" s="73"/>
      <c r="C79" s="70"/>
      <c r="D79" s="11"/>
      <c r="E79" s="15"/>
      <c r="F79" s="20"/>
      <c r="G79" s="11"/>
      <c r="H79" s="11"/>
      <c r="I79" s="11"/>
      <c r="J79" s="39"/>
      <c r="K79" s="83"/>
      <c r="L79" s="11"/>
      <c r="M79" s="11"/>
      <c r="N79" s="11"/>
      <c r="O79" s="11"/>
      <c r="P79" s="11"/>
      <c r="Q79" s="11"/>
      <c r="R79" s="15"/>
      <c r="S79" s="15"/>
    </row>
    <row r="80" ht="15.0" customHeight="1">
      <c r="A80" s="26" t="s">
        <v>200</v>
      </c>
      <c r="S80" s="54"/>
    </row>
    <row r="81" ht="15.0" customHeight="1">
      <c r="A81" s="11">
        <v>12.0</v>
      </c>
      <c r="B81" s="73">
        <v>0.8541666666666666</v>
      </c>
      <c r="C81" s="70"/>
      <c r="D81" s="11"/>
      <c r="E81" s="11"/>
      <c r="F81" s="20"/>
      <c r="G81" s="8"/>
      <c r="H81" s="23"/>
      <c r="I81" s="23"/>
      <c r="J81" s="23"/>
      <c r="K81" s="85"/>
      <c r="L81" s="11"/>
      <c r="M81" s="11"/>
      <c r="N81" s="11"/>
      <c r="O81" s="11"/>
      <c r="P81" s="11"/>
      <c r="Q81" s="11"/>
      <c r="R81" s="15"/>
      <c r="S81" s="15"/>
    </row>
    <row r="82" ht="15.0" customHeight="1">
      <c r="A82" s="11">
        <v>13.0</v>
      </c>
      <c r="B82" s="73">
        <v>0.8576388888888888</v>
      </c>
      <c r="C82" s="70"/>
      <c r="D82" s="11"/>
      <c r="E82" s="11"/>
      <c r="F82" s="20"/>
      <c r="G82" s="8" t="s">
        <v>27</v>
      </c>
      <c r="H82" s="11"/>
      <c r="I82" s="11"/>
      <c r="J82" s="39"/>
      <c r="K82" s="83"/>
      <c r="L82" s="11"/>
      <c r="M82" s="11"/>
      <c r="N82" s="11"/>
      <c r="O82" s="11"/>
      <c r="P82" s="11"/>
      <c r="Q82" s="11"/>
      <c r="R82" s="15"/>
      <c r="S82" s="15"/>
    </row>
    <row r="83" ht="15.0" customHeight="1">
      <c r="A83" s="11">
        <v>14.0</v>
      </c>
      <c r="B83" s="73">
        <v>0.8611111111111112</v>
      </c>
      <c r="C83" s="70"/>
      <c r="D83" s="11"/>
      <c r="E83" s="11"/>
      <c r="F83" s="20"/>
      <c r="G83" s="8" t="s">
        <v>27</v>
      </c>
      <c r="H83" s="11"/>
      <c r="I83" s="11"/>
      <c r="J83" s="39"/>
      <c r="K83" s="83"/>
      <c r="L83" s="11"/>
      <c r="M83" s="11"/>
      <c r="N83" s="11"/>
      <c r="O83" s="11"/>
      <c r="P83" s="11"/>
      <c r="Q83" s="11"/>
      <c r="R83" s="15"/>
      <c r="S83" s="15"/>
    </row>
    <row r="84" ht="15.0" customHeight="1">
      <c r="A84" s="11">
        <v>15.0</v>
      </c>
      <c r="B84" s="73">
        <v>0.8645833333333334</v>
      </c>
      <c r="C84" s="70"/>
      <c r="D84" s="11"/>
      <c r="E84" s="11"/>
      <c r="F84" s="20"/>
      <c r="G84" s="8" t="s">
        <v>27</v>
      </c>
      <c r="H84" s="11"/>
      <c r="I84" s="11"/>
      <c r="J84" s="39"/>
      <c r="K84" s="83"/>
      <c r="L84" s="11"/>
      <c r="M84" s="11"/>
      <c r="N84" s="11"/>
      <c r="O84" s="11"/>
      <c r="P84" s="11"/>
      <c r="Q84" s="11"/>
      <c r="R84" s="15"/>
      <c r="S84" s="15"/>
    </row>
    <row r="85" ht="15.0" customHeight="1">
      <c r="A85" s="11">
        <v>16.0</v>
      </c>
      <c r="B85" s="73">
        <v>0.8680555555555556</v>
      </c>
      <c r="C85" s="70"/>
      <c r="D85" s="11"/>
      <c r="E85" s="11"/>
      <c r="F85" s="20"/>
      <c r="G85" s="8" t="s">
        <v>27</v>
      </c>
      <c r="H85" s="11"/>
      <c r="I85" s="11"/>
      <c r="J85" s="39"/>
      <c r="K85" s="83"/>
      <c r="L85" s="11"/>
      <c r="M85" s="11"/>
      <c r="N85" s="11"/>
      <c r="O85" s="11"/>
      <c r="P85" s="11"/>
      <c r="Q85" s="11"/>
      <c r="R85" s="15"/>
      <c r="S85" s="15"/>
    </row>
    <row r="86" ht="15.0" customHeight="1">
      <c r="A86" s="72"/>
      <c r="B86" s="86" t="s">
        <v>201</v>
      </c>
      <c r="C86" s="70"/>
      <c r="D86" s="11"/>
      <c r="E86" s="11"/>
      <c r="F86" s="20"/>
      <c r="G86" s="11"/>
      <c r="H86" s="11"/>
      <c r="I86" s="11"/>
      <c r="J86" s="39"/>
      <c r="L86" s="11"/>
      <c r="M86" s="11"/>
      <c r="N86" s="11"/>
      <c r="O86" s="11"/>
      <c r="P86" s="11"/>
      <c r="Q86" s="11"/>
      <c r="R86" s="15"/>
      <c r="S86" s="15"/>
    </row>
    <row r="87" ht="15.0" customHeight="1">
      <c r="A87" s="72"/>
      <c r="B87" s="73"/>
      <c r="C87" s="70"/>
      <c r="D87" s="11"/>
      <c r="E87" s="11"/>
      <c r="F87" s="20"/>
      <c r="G87" s="11"/>
      <c r="H87" s="11"/>
      <c r="I87" s="11"/>
      <c r="J87" s="39"/>
      <c r="L87" s="11"/>
      <c r="M87" s="11"/>
      <c r="N87" s="11"/>
      <c r="O87" s="11"/>
      <c r="P87" s="11"/>
      <c r="Q87" s="11"/>
      <c r="R87" s="15"/>
      <c r="S87" s="15"/>
    </row>
    <row r="88" ht="15.0" customHeight="1">
      <c r="A88" s="26" t="s">
        <v>202</v>
      </c>
      <c r="S88" s="87"/>
    </row>
    <row r="89" ht="15.0" customHeight="1">
      <c r="A89" s="87"/>
      <c r="B89" s="88"/>
      <c r="C89" s="88"/>
      <c r="D89" s="89"/>
      <c r="E89" s="89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</row>
  </sheetData>
  <mergeCells count="20">
    <mergeCell ref="A2:S2"/>
    <mergeCell ref="C3:C4"/>
    <mergeCell ref="A5:R5"/>
    <mergeCell ref="A9:R9"/>
    <mergeCell ref="A10:O10"/>
    <mergeCell ref="A50:R50"/>
    <mergeCell ref="A57:R57"/>
    <mergeCell ref="A70:R70"/>
    <mergeCell ref="A77:R77"/>
    <mergeCell ref="A80:R80"/>
    <mergeCell ref="A88:R88"/>
    <mergeCell ref="A26:R26"/>
    <mergeCell ref="A25:R25"/>
    <mergeCell ref="A29:R29"/>
    <mergeCell ref="A34:R34"/>
    <mergeCell ref="A37:R37"/>
    <mergeCell ref="A41:R41"/>
    <mergeCell ref="A44:R44"/>
    <mergeCell ref="A47:R47"/>
    <mergeCell ref="D48:I48"/>
  </mergeCells>
  <dataValidations>
    <dataValidation type="list" allowBlank="1" sqref="E6:E7 E11:E14 E16:E24 E52:E53 E58:E68 E71:E76 E81:E85 E87">
      <formula1>"in person 實體出席,pre-recorded videos 預錄影片,online proposal 線上提案"</formula1>
    </dataValidation>
    <dataValidation type="list" allowBlank="1" sqref="E8 E15">
      <formula1>"in person 實體出席,pre-recorded videos 預錄影片"</formula1>
    </dataValidation>
  </dataValidations>
  <hyperlinks>
    <hyperlink r:id="rId1" ref="G1"/>
    <hyperlink r:id="rId2" ref="L6"/>
    <hyperlink r:id="rId3" ref="K7"/>
    <hyperlink r:id="rId4" ref="K8"/>
    <hyperlink r:id="rId5" ref="K11"/>
    <hyperlink r:id="rId6" ref="L11"/>
    <hyperlink r:id="rId7" ref="K12"/>
    <hyperlink r:id="rId8" location="/" ref="L12"/>
    <hyperlink r:id="rId9" ref="Q12"/>
    <hyperlink r:id="rId10" ref="K13"/>
    <hyperlink r:id="rId11" ref="L13"/>
    <hyperlink r:id="rId12" ref="K14"/>
    <hyperlink r:id="rId13" location="slide=id.g3554883af0e_1_8" ref="L14"/>
    <hyperlink r:id="rId14" ref="K15"/>
    <hyperlink r:id="rId15" ref="L15"/>
    <hyperlink r:id="rId16" ref="K16"/>
    <hyperlink r:id="rId17" location="slide=id.p" ref="L16"/>
    <hyperlink r:id="rId18" ref="K17"/>
    <hyperlink r:id="rId19" ref="L17"/>
    <hyperlink r:id="rId20" ref="K18"/>
    <hyperlink r:id="rId21" ref="L18"/>
    <hyperlink r:id="rId22" ref="K19"/>
    <hyperlink r:id="rId23" ref="L19"/>
    <hyperlink r:id="rId24" ref="O19"/>
    <hyperlink r:id="rId25" ref="P19"/>
    <hyperlink r:id="rId26" ref="K20"/>
    <hyperlink r:id="rId27" ref="L20"/>
    <hyperlink r:id="rId28" location="slide=id.g35b1113712e_0_93" ref="I21"/>
    <hyperlink r:id="rId29" ref="K21"/>
    <hyperlink r:id="rId30" location="slide=id.p1" ref="L21"/>
    <hyperlink r:id="rId31" ref="K22"/>
    <hyperlink r:id="rId32" ref="L22"/>
    <hyperlink r:id="rId33" ref="K23"/>
    <hyperlink r:id="rId34" ref="L23"/>
    <hyperlink r:id="rId35" ref="K24"/>
    <hyperlink r:id="rId36" ref="L24"/>
    <hyperlink r:id="rId37" ref="K53"/>
    <hyperlink r:id="rId38" ref="L53"/>
    <hyperlink r:id="rId39" ref="K58"/>
    <hyperlink r:id="rId40" ref="K59"/>
    <hyperlink r:id="rId41" ref="K60"/>
    <hyperlink r:id="rId42" location="slide=id.g35b1113712e_0_93" ref="K62"/>
    <hyperlink r:id="rId43" location="slide=id.g35b1113712e_0_93" ref="L62"/>
    <hyperlink r:id="rId44" ref="K64"/>
    <hyperlink r:id="rId45" ref="B86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5.13" defaultRowHeight="15.75"/>
  <cols>
    <col customWidth="1" min="1" max="1" width="10.88"/>
    <col customWidth="1" min="2" max="2" width="8.5"/>
    <col customWidth="1" min="3" max="3" width="21.25"/>
    <col customWidth="1" min="4" max="7" width="18.0"/>
    <col customWidth="1" min="8" max="8" width="20.88"/>
    <col customWidth="1" min="9" max="9" width="21.63"/>
    <col customWidth="1" min="10" max="13" width="21.0"/>
  </cols>
  <sheetData>
    <row r="1">
      <c r="A1" s="90" t="s">
        <v>203</v>
      </c>
      <c r="C1" s="91" t="s">
        <v>204</v>
      </c>
      <c r="D1" s="92" t="s">
        <v>205</v>
      </c>
      <c r="N1" s="15"/>
    </row>
    <row r="2">
      <c r="C2" s="91" t="s">
        <v>206</v>
      </c>
      <c r="D2" s="92" t="s">
        <v>207</v>
      </c>
      <c r="N2" s="15"/>
    </row>
    <row r="3" ht="19.5" customHeight="1">
      <c r="C3" s="93" t="s">
        <v>208</v>
      </c>
      <c r="D3" s="94" t="s">
        <v>209</v>
      </c>
      <c r="H3" s="95" t="s">
        <v>210</v>
      </c>
      <c r="I3" s="96" t="s">
        <v>211</v>
      </c>
      <c r="J3" s="97" t="s">
        <v>212</v>
      </c>
      <c r="K3" s="97" t="s">
        <v>213</v>
      </c>
      <c r="L3" s="97" t="s">
        <v>214</v>
      </c>
      <c r="M3" s="97" t="s">
        <v>215</v>
      </c>
      <c r="N3" s="15"/>
    </row>
    <row r="4" ht="42.0" customHeight="1">
      <c r="C4" s="8" t="s">
        <v>216</v>
      </c>
      <c r="D4" s="98" t="s">
        <v>217</v>
      </c>
      <c r="E4" s="99" t="s">
        <v>218</v>
      </c>
      <c r="F4" s="99" t="s">
        <v>219</v>
      </c>
      <c r="G4" s="99" t="s">
        <v>220</v>
      </c>
      <c r="H4" s="99" t="s">
        <v>221</v>
      </c>
      <c r="I4" s="99" t="s">
        <v>222</v>
      </c>
      <c r="J4" s="97" t="s">
        <v>223</v>
      </c>
      <c r="K4" s="97" t="s">
        <v>223</v>
      </c>
      <c r="L4" s="97" t="s">
        <v>223</v>
      </c>
      <c r="M4" s="97" t="s">
        <v>223</v>
      </c>
      <c r="N4" s="15"/>
    </row>
    <row r="5">
      <c r="A5" s="90" t="s">
        <v>224</v>
      </c>
      <c r="D5" s="11" t="s">
        <v>225</v>
      </c>
      <c r="E5" s="11" t="s">
        <v>226</v>
      </c>
      <c r="F5" s="11" t="s">
        <v>227</v>
      </c>
      <c r="G5" s="11" t="s">
        <v>228</v>
      </c>
      <c r="H5" s="11" t="s">
        <v>229</v>
      </c>
      <c r="I5" s="11" t="s">
        <v>230</v>
      </c>
      <c r="J5" s="11" t="s">
        <v>231</v>
      </c>
      <c r="K5" s="11" t="s">
        <v>231</v>
      </c>
      <c r="L5" s="11" t="s">
        <v>231</v>
      </c>
      <c r="M5" s="11" t="s">
        <v>231</v>
      </c>
      <c r="N5" s="15"/>
    </row>
    <row r="6">
      <c r="A6" s="90" t="s">
        <v>232</v>
      </c>
      <c r="B6" s="90" t="s">
        <v>233</v>
      </c>
      <c r="C6" s="100" t="s">
        <v>234</v>
      </c>
      <c r="D6" s="101" t="s">
        <v>235</v>
      </c>
      <c r="J6" s="15"/>
      <c r="K6" s="15"/>
      <c r="L6" s="15"/>
      <c r="M6" s="15"/>
      <c r="N6" s="15"/>
    </row>
    <row r="7" ht="45.75" customHeight="1">
      <c r="D7" s="101" t="s">
        <v>236</v>
      </c>
      <c r="E7" s="100" t="s">
        <v>237</v>
      </c>
      <c r="F7" s="100" t="s">
        <v>238</v>
      </c>
      <c r="G7" s="102" t="s">
        <v>239</v>
      </c>
      <c r="H7" s="102" t="s">
        <v>239</v>
      </c>
      <c r="I7" s="102" t="s">
        <v>239</v>
      </c>
      <c r="N7" s="15"/>
    </row>
    <row r="8" ht="35.25" customHeight="1">
      <c r="B8" s="103">
        <v>0.4513888888888889</v>
      </c>
      <c r="C8" s="104" t="s">
        <v>240</v>
      </c>
      <c r="D8" s="104" t="s">
        <v>240</v>
      </c>
      <c r="E8" s="104" t="s">
        <v>240</v>
      </c>
      <c r="F8" s="104" t="s">
        <v>240</v>
      </c>
      <c r="G8" s="104" t="s">
        <v>240</v>
      </c>
      <c r="H8" s="104" t="s">
        <v>240</v>
      </c>
      <c r="I8" s="104" t="s">
        <v>240</v>
      </c>
      <c r="J8" s="15"/>
      <c r="K8" s="15"/>
      <c r="L8" s="15"/>
      <c r="M8" s="15"/>
      <c r="N8" s="15"/>
    </row>
    <row r="9">
      <c r="A9" s="90" t="s">
        <v>241</v>
      </c>
      <c r="C9" s="105" t="s">
        <v>242</v>
      </c>
      <c r="D9" s="106" t="s">
        <v>243</v>
      </c>
      <c r="E9" s="106" t="s">
        <v>244</v>
      </c>
      <c r="F9" s="105" t="s">
        <v>242</v>
      </c>
      <c r="G9" s="99" t="s">
        <v>245</v>
      </c>
      <c r="H9" s="105" t="s">
        <v>242</v>
      </c>
      <c r="I9" s="107" t="s">
        <v>63</v>
      </c>
      <c r="J9" s="15"/>
      <c r="K9" s="15"/>
      <c r="L9" s="15"/>
      <c r="M9" s="15"/>
      <c r="N9" s="15"/>
    </row>
    <row r="10">
      <c r="C10" s="105" t="s">
        <v>242</v>
      </c>
      <c r="D10" s="105" t="s">
        <v>242</v>
      </c>
      <c r="E10" s="108" t="s">
        <v>246</v>
      </c>
      <c r="F10" s="105" t="s">
        <v>242</v>
      </c>
      <c r="G10" s="105" t="s">
        <v>242</v>
      </c>
      <c r="H10" s="105" t="s">
        <v>242</v>
      </c>
      <c r="I10" s="105" t="s">
        <v>242</v>
      </c>
      <c r="J10" s="15"/>
      <c r="K10" s="15"/>
      <c r="L10" s="15"/>
      <c r="M10" s="15"/>
      <c r="N10" s="15"/>
    </row>
    <row r="11">
      <c r="C11" s="105" t="s">
        <v>242</v>
      </c>
      <c r="D11" s="105" t="s">
        <v>242</v>
      </c>
      <c r="E11" s="109" t="s">
        <v>247</v>
      </c>
      <c r="F11" s="105" t="s">
        <v>242</v>
      </c>
      <c r="G11" s="105" t="s">
        <v>242</v>
      </c>
      <c r="H11" s="105" t="s">
        <v>242</v>
      </c>
      <c r="I11" s="105" t="s">
        <v>242</v>
      </c>
    </row>
    <row r="12">
      <c r="C12" s="105" t="s">
        <v>242</v>
      </c>
      <c r="D12" s="8"/>
      <c r="E12" s="105" t="s">
        <v>242</v>
      </c>
      <c r="F12" s="15"/>
      <c r="G12" s="70"/>
      <c r="H12" s="15"/>
      <c r="I12" s="70"/>
    </row>
    <row r="13">
      <c r="C13" s="15"/>
      <c r="D13" s="8"/>
      <c r="E13" s="105" t="s">
        <v>242</v>
      </c>
      <c r="F13" s="8"/>
      <c r="G13" s="8"/>
      <c r="H13" s="8"/>
      <c r="I13" s="8"/>
      <c r="J13" s="15"/>
      <c r="K13" s="15"/>
      <c r="L13" s="15"/>
      <c r="M13" s="15"/>
      <c r="N13" s="15"/>
    </row>
    <row r="14">
      <c r="D14" s="70"/>
      <c r="E14" s="105" t="s">
        <v>242</v>
      </c>
      <c r="F14" s="70"/>
      <c r="G14" s="70"/>
      <c r="H14" s="70"/>
      <c r="I14" s="70"/>
    </row>
    <row r="15" ht="21.0" customHeight="1">
      <c r="D15" s="70"/>
      <c r="E15" s="70"/>
      <c r="F15" s="70"/>
      <c r="G15" s="70"/>
      <c r="H15" s="70"/>
      <c r="I15" s="70"/>
    </row>
    <row r="16" ht="19.5" customHeight="1">
      <c r="D16" s="70"/>
      <c r="E16" s="70"/>
      <c r="F16" s="70"/>
      <c r="G16" s="70"/>
      <c r="H16" s="70"/>
      <c r="I16" s="70"/>
      <c r="J16" s="15"/>
      <c r="K16" s="15"/>
      <c r="L16" s="15"/>
      <c r="M16" s="15"/>
      <c r="N16" s="15"/>
    </row>
    <row r="17" ht="53.25" customHeight="1">
      <c r="A17" s="90" t="s">
        <v>248</v>
      </c>
      <c r="B17" s="103">
        <v>0.5</v>
      </c>
      <c r="C17" s="104" t="s">
        <v>249</v>
      </c>
      <c r="D17" s="101" t="s">
        <v>250</v>
      </c>
      <c r="J17" s="15"/>
      <c r="K17" s="15"/>
      <c r="L17" s="15"/>
      <c r="M17" s="15"/>
      <c r="N17" s="15"/>
    </row>
    <row r="18">
      <c r="A18" s="90" t="s">
        <v>251</v>
      </c>
      <c r="B18" s="103">
        <v>0.5416666666666666</v>
      </c>
      <c r="C18" s="100" t="s">
        <v>252</v>
      </c>
      <c r="D18" s="101" t="s">
        <v>253</v>
      </c>
      <c r="E18" s="100" t="s">
        <v>254</v>
      </c>
      <c r="F18" s="104" t="s">
        <v>249</v>
      </c>
      <c r="G18" s="104" t="s">
        <v>249</v>
      </c>
      <c r="H18" s="104" t="s">
        <v>249</v>
      </c>
      <c r="I18" s="100" t="s">
        <v>255</v>
      </c>
      <c r="J18" s="15"/>
      <c r="K18" s="15"/>
      <c r="L18" s="15"/>
      <c r="M18" s="15"/>
      <c r="N18" s="15"/>
    </row>
    <row r="19" ht="45.0" customHeight="1">
      <c r="B19" s="103">
        <v>0.6041666666666666</v>
      </c>
      <c r="C19" s="104" t="s">
        <v>249</v>
      </c>
      <c r="D19" s="101" t="s">
        <v>256</v>
      </c>
      <c r="J19" s="15"/>
      <c r="K19" s="15"/>
      <c r="L19" s="15"/>
      <c r="M19" s="15"/>
      <c r="N19" s="15"/>
    </row>
    <row r="20" ht="102.0" customHeight="1">
      <c r="B20" s="103">
        <v>0.6180555555555556</v>
      </c>
      <c r="C20" s="104" t="s">
        <v>249</v>
      </c>
      <c r="D20" s="100" t="s">
        <v>257</v>
      </c>
      <c r="E20" s="100" t="s">
        <v>258</v>
      </c>
      <c r="F20" s="104" t="s">
        <v>249</v>
      </c>
      <c r="G20" s="104" t="s">
        <v>249</v>
      </c>
      <c r="H20" s="101" t="s">
        <v>259</v>
      </c>
      <c r="I20" s="100" t="s">
        <v>260</v>
      </c>
      <c r="J20" s="15"/>
      <c r="K20" s="15"/>
      <c r="L20" s="15"/>
      <c r="M20" s="15"/>
      <c r="N20" s="15"/>
    </row>
    <row r="21" ht="57.0" customHeight="1">
      <c r="B21" s="103">
        <v>0.6875</v>
      </c>
      <c r="C21" s="100" t="s">
        <v>261</v>
      </c>
      <c r="D21" s="101" t="s">
        <v>262</v>
      </c>
      <c r="E21" s="100" t="s">
        <v>263</v>
      </c>
      <c r="F21" s="102" t="s">
        <v>239</v>
      </c>
      <c r="G21" s="102" t="s">
        <v>239</v>
      </c>
      <c r="H21" s="102" t="s">
        <v>239</v>
      </c>
      <c r="I21" s="102" t="s">
        <v>239</v>
      </c>
      <c r="J21" s="15"/>
      <c r="K21" s="15"/>
      <c r="L21" s="15"/>
      <c r="M21" s="15"/>
      <c r="N21" s="15"/>
    </row>
    <row r="22" ht="59.25" customHeight="1">
      <c r="B22" s="103">
        <v>0.7291666666666666</v>
      </c>
      <c r="C22" s="110" t="s">
        <v>264</v>
      </c>
      <c r="D22" s="111" t="s">
        <v>265</v>
      </c>
      <c r="E22" s="102" t="s">
        <v>239</v>
      </c>
      <c r="F22" s="102" t="s">
        <v>239</v>
      </c>
      <c r="G22" s="102" t="s">
        <v>239</v>
      </c>
      <c r="H22" s="102" t="s">
        <v>239</v>
      </c>
      <c r="I22" s="102" t="s">
        <v>239</v>
      </c>
      <c r="J22" s="15"/>
      <c r="K22" s="15"/>
      <c r="L22" s="15"/>
      <c r="M22" s="15"/>
      <c r="N22" s="15"/>
    </row>
    <row r="23">
      <c r="B23" s="103">
        <v>0.7708333333333334</v>
      </c>
      <c r="C23" s="104" t="s">
        <v>249</v>
      </c>
      <c r="D23" s="111" t="s">
        <v>266</v>
      </c>
      <c r="E23" s="102" t="s">
        <v>239</v>
      </c>
      <c r="F23" s="102" t="s">
        <v>239</v>
      </c>
      <c r="G23" s="102" t="s">
        <v>239</v>
      </c>
      <c r="H23" s="102" t="s">
        <v>239</v>
      </c>
      <c r="I23" s="102" t="s">
        <v>239</v>
      </c>
      <c r="J23" s="15"/>
      <c r="K23" s="15"/>
      <c r="L23" s="15"/>
      <c r="M23" s="15"/>
      <c r="N23" s="15"/>
    </row>
    <row r="24">
      <c r="B24" s="103">
        <v>0.8541666666666666</v>
      </c>
      <c r="C24" s="110" t="s">
        <v>267</v>
      </c>
      <c r="D24" s="111" t="s">
        <v>268</v>
      </c>
      <c r="E24" s="102" t="s">
        <v>239</v>
      </c>
      <c r="F24" s="102" t="s">
        <v>239</v>
      </c>
      <c r="G24" s="102" t="s">
        <v>239</v>
      </c>
      <c r="H24" s="102" t="s">
        <v>239</v>
      </c>
      <c r="I24" s="102" t="s">
        <v>239</v>
      </c>
      <c r="J24" s="15"/>
      <c r="K24" s="15"/>
      <c r="L24" s="15"/>
      <c r="M24" s="15"/>
      <c r="N24" s="15"/>
    </row>
    <row r="25" ht="79.5" customHeight="1">
      <c r="B25" s="103">
        <v>0.875</v>
      </c>
      <c r="C25" s="112" t="s">
        <v>269</v>
      </c>
      <c r="E25" s="102" t="s">
        <v>239</v>
      </c>
      <c r="F25" s="102" t="s">
        <v>239</v>
      </c>
      <c r="G25" s="102" t="s">
        <v>239</v>
      </c>
      <c r="H25" s="102" t="s">
        <v>239</v>
      </c>
      <c r="I25" s="102" t="s">
        <v>239</v>
      </c>
      <c r="J25" s="112" t="s">
        <v>270</v>
      </c>
    </row>
    <row r="26">
      <c r="A26" s="8"/>
      <c r="B26" s="8"/>
      <c r="D26" s="113"/>
      <c r="E26" s="113"/>
      <c r="F26" s="113"/>
      <c r="G26" s="113"/>
      <c r="H26" s="113"/>
      <c r="I26" s="113"/>
    </row>
    <row r="27">
      <c r="A27" s="8"/>
      <c r="B27" s="8"/>
      <c r="D27" s="113"/>
      <c r="E27" s="113"/>
      <c r="F27" s="113"/>
      <c r="G27" s="113"/>
      <c r="H27" s="113"/>
      <c r="I27" s="113"/>
    </row>
    <row r="28">
      <c r="A28" s="8"/>
      <c r="B28" s="8"/>
      <c r="D28" s="113"/>
      <c r="E28" s="113"/>
      <c r="F28" s="113"/>
      <c r="G28" s="113"/>
      <c r="H28" s="113"/>
      <c r="I28" s="113"/>
    </row>
    <row r="29">
      <c r="A29" s="8"/>
      <c r="B29" s="8"/>
      <c r="D29" s="113"/>
      <c r="E29" s="113"/>
      <c r="F29" s="113"/>
      <c r="G29" s="113"/>
      <c r="H29" s="113"/>
      <c r="I29" s="113"/>
    </row>
  </sheetData>
  <mergeCells count="20">
    <mergeCell ref="B6:B7"/>
    <mergeCell ref="C6:C7"/>
    <mergeCell ref="A9:B16"/>
    <mergeCell ref="A18:A25"/>
    <mergeCell ref="C25:D25"/>
    <mergeCell ref="D6:I6"/>
    <mergeCell ref="J6:J7"/>
    <mergeCell ref="D17:I17"/>
    <mergeCell ref="D19:I19"/>
    <mergeCell ref="K6:K7"/>
    <mergeCell ref="L6:L7"/>
    <mergeCell ref="J25:M25"/>
    <mergeCell ref="A1:B4"/>
    <mergeCell ref="D1:M1"/>
    <mergeCell ref="D2:M2"/>
    <mergeCell ref="D3:G3"/>
    <mergeCell ref="C4:C5"/>
    <mergeCell ref="A5:B5"/>
    <mergeCell ref="A6:A8"/>
    <mergeCell ref="M6:M7"/>
  </mergeCells>
  <hyperlinks>
    <hyperlink r:id="rId1" ref="D1"/>
    <hyperlink r:id="rId2" ref="D2"/>
    <hyperlink r:id="rId3" ref="C3"/>
    <hyperlink r:id="rId4" ref="C6"/>
    <hyperlink r:id="rId5" ref="E7"/>
    <hyperlink r:id="rId6" ref="F7"/>
    <hyperlink r:id="rId7" ref="D9"/>
    <hyperlink r:id="rId8" ref="E9"/>
    <hyperlink r:id="rId9" ref="E10"/>
    <hyperlink r:id="rId10" ref="C18"/>
    <hyperlink r:id="rId11" ref="E18"/>
    <hyperlink r:id="rId12" ref="I18"/>
    <hyperlink r:id="rId13" ref="D20"/>
    <hyperlink r:id="rId14" ref="E20"/>
    <hyperlink r:id="rId15" ref="I20"/>
    <hyperlink r:id="rId16" ref="C21"/>
    <hyperlink r:id="rId17" ref="E21"/>
    <hyperlink r:id="rId18" ref="C22"/>
    <hyperlink r:id="rId19" ref="C24"/>
    <hyperlink r:id="rId20" ref="C25"/>
    <hyperlink r:id="rId21" ref="J25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9.25"/>
    <col customWidth="1" min="2" max="2" width="51.38"/>
    <col customWidth="1" min="3" max="3" width="37.88"/>
  </cols>
  <sheetData>
    <row r="1">
      <c r="A1" s="114" t="s">
        <v>271</v>
      </c>
    </row>
  </sheetData>
  <mergeCells count="1">
    <mergeCell ref="A1:C1"/>
  </mergeCells>
  <drawing r:id="rId1"/>
</worksheet>
</file>