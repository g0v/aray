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n-down 專案列表" sheetId="1" r:id="rId3"/>
    <sheet state="visible" name="Venue Map 各專案位置圖" sheetId="2" r:id="rId4"/>
    <sheet state="visible" name="Food Map 食物位置圖" sheetId="3" r:id="rId5"/>
  </sheets>
  <definedNames/>
  <calcPr/>
</workbook>
</file>

<file path=xl/sharedStrings.xml><?xml version="1.0" encoding="utf-8"?>
<sst xmlns="http://schemas.openxmlformats.org/spreadsheetml/2006/main" count="452" uniqueCount="292">
  <si>
    <t>發表時間
Time</t>
  </si>
  <si>
    <t>完成</t>
  </si>
  <si>
    <t>發表者
Presenter</t>
  </si>
  <si>
    <t>提案形式
Form</t>
  </si>
  <si>
    <t>錄影以 CC-BY 釋出？
Can we record and release the video (cc-by) ?</t>
  </si>
  <si>
    <t>專案名稱
Project Name</t>
  </si>
  <si>
    <t>主題
Topic</t>
  </si>
  <si>
    <t xml:space="preserve">專案授權
Project License </t>
  </si>
  <si>
    <t>共筆／討論連結
HackMD link</t>
  </si>
  <si>
    <t>目前成果／投影片連結
Slide link</t>
  </si>
  <si>
    <t>新參者友善（Y/?）
Newcomer-friendly?</t>
  </si>
  <si>
    <t>專案三個關鍵字
3 Keywords of Project</t>
  </si>
  <si>
    <t>專案徵人（專長）
Recruitment (talents?)</t>
  </si>
  <si>
    <t>坑主聯絡方式
Project Lead Contact Info</t>
  </si>
  <si>
    <t>youtube url: 專案報告 或是 預錄影片</t>
  </si>
  <si>
    <t>youtube url: 成果報告</t>
  </si>
  <si>
    <t>youtube title</t>
  </si>
  <si>
    <r>
      <rPr>
        <rFont val="arial,sans,sans-serif"/>
        <b/>
        <color rgb="FFFF9700"/>
        <sz val="17.0"/>
      </rPr>
      <t xml:space="preserve">【飲料與限量早餐】Drinks 
&amp; Breakfast </t>
    </r>
    <r>
      <rPr>
        <rFont val="arial,sans,sans-serif"/>
        <b/>
        <color rgb="FFFF9700"/>
        <sz val="13.0"/>
      </rPr>
      <t>(Limited quantity, priority will be given to participants who arrive in a rush.)</t>
    </r>
  </si>
  <si>
    <t>熱香柚茶 Hot Grapefruit Tea
熱紅茶 Hot Black Tea
冰紅茶 Iced Black Tea
柳橙汁 Orange Juice
LAVAZZA 熱咖啡 Hot Coffee
--------------------------------------
素食_時鮮蔬菜潤餅捲 (Vegetarian) Seasonal Vegetable Spring Rolls (Limited quantity, priority will be given to participants who arrive in a rush.)
可頌壽司捲 Croissant Sushi Roll (Limited quantity, priority will be given to participants who arrive in a rush.)</t>
  </si>
  <si>
    <t>09:30 Event Introduction and Important Reminders 開場介紹與 g0v 行為守則提醒
09:35 Beginner Tutorial Session Time 新手教學</t>
  </si>
  <si>
    <t>揪松團</t>
  </si>
  <si>
    <t>in person 實體出席</t>
  </si>
  <si>
    <t>Y</t>
  </si>
  <si>
    <t>活動介紹與 g0v 行為守則事項提醒
Event Introduction and Important Reminders</t>
  </si>
  <si>
    <t>https://docs.google.com/presentation/d/1JBKqHgPHKhXoB3UIyO4C-SCbrrH6YVDjb4KzT_7r7bc/edit?usp=sharing</t>
  </si>
  <si>
    <t>揪松團, RS, Paul</t>
  </si>
  <si>
    <t>新手教學時間 Beginner Tutorial Session Time 
也歡迎參加 g0v 新手村 14:30-15:00
認識與貢獻群眾協力型專案、認識線上課程資源、帶你來提案線上課程</t>
  </si>
  <si>
    <t>09:50 Proposal Time 【提案時間】每個 present 3min，提案、徵人。</t>
  </si>
  <si>
    <t>＊無法實體出席者，建議以預錄影片提案。並將提案影片連結填在欄位「O：youtube url 或是 預錄影片」</t>
  </si>
  <si>
    <t>以婕, 方心, ipa</t>
  </si>
  <si>
    <t>AI 包容共學計畫 AI Inclusive Co-Learning Project</t>
  </si>
  <si>
    <t>來完成 AI 線上學習課程，一起成為種籽講師吧 !</t>
  </si>
  <si>
    <t>CC-by</t>
  </si>
  <si>
    <t>https://docs.google.com/presentation/d/1TetOIDhmsF-TqFgcDLkToOl6sOdZHkG09aAubZg5bMc/edit#slide=id.p</t>
  </si>
  <si>
    <t xml:space="preserve">https://forms.gle/xSV4d6ZyQAHNNnSz9 </t>
  </si>
  <si>
    <t>AI 線上課程共學, 人工智慧學校支援, 邀請種籽講師完成課程後一起擴大推廣線上學習資源</t>
  </si>
  <si>
    <t>g0v slack #jothon</t>
  </si>
  <si>
    <t>智遠</t>
  </si>
  <si>
    <t xml:space="preserve">全能住宅改造王 </t>
  </si>
  <si>
    <t xml:space="preserve">全能住宅改造王——以實作改善居住的將就 </t>
  </si>
  <si>
    <t>https://g0v.hackmd.io/Xwd0lRj1RQidzBZdmn3MvA?both</t>
  </si>
  <si>
    <t>https://docs.google.com/presentation/d/1NrkmP9zO8BM882h3V69QeMUogWcJJrf3KR5hn7-fdKQ/edit?usp=sharing</t>
  </si>
  <si>
    <t>居住、實作、與物的關係</t>
  </si>
  <si>
    <t>擅長訪談與紀錄、參數式設計大師（可能grasshopper之類!?</t>
  </si>
  <si>
    <t>hcytw0406@gmail.com</t>
  </si>
  <si>
    <t xml:space="preserve">peter </t>
  </si>
  <si>
    <t>vtaiwan 議題小聚</t>
  </si>
  <si>
    <t xml:space="preserve">vTaiwan 議題小聚 vTaiwan issue meetup  / vTaiwan 101 </t>
  </si>
  <si>
    <t>CC-BY</t>
  </si>
  <si>
    <t>https://g0v.hackmd.io/@Pno233SAS8G5UfL5OvSRmA/HJsIEVXc1x</t>
  </si>
  <si>
    <t>https://docs.google.com/presentation/d/1sF_sU3uG23S9pVo6ihZ7Fi5qccjUkhQ9u_-GebCPEWo/edit?usp=sharing</t>
  </si>
  <si>
    <t>y</t>
  </si>
  <si>
    <t>公共參與、數位工具、</t>
  </si>
  <si>
    <t>擅長數位工具、喜歡帶討論、</t>
  </si>
  <si>
    <t>g0v slack #vtaiwan @peter
vtaiwan.tw@gmail.com</t>
  </si>
  <si>
    <t>Caleb</t>
  </si>
  <si>
    <t>pre-recorded videos 預錄影片</t>
  </si>
  <si>
    <t>The Cone Club</t>
  </si>
  <si>
    <t xml:space="preserve">直接行動改善台灣的行人安全。Direct action to improve pedestrian safety in Taiwan. </t>
  </si>
  <si>
    <t>https://hackmd.io/DQ8aX1rDT6K3XUOeGgJ-Dg</t>
  </si>
  <si>
    <t>cone all cars</t>
  </si>
  <si>
    <t>Social media enthusiasts, video editors, jaywalkers 社群媒體愛好者、影片編輯者、亂穿馬路者</t>
  </si>
  <si>
    <t xml:space="preserve">g0v #road-safety caleb@calebjay.com </t>
  </si>
  <si>
    <t>https://youtu.be/iyW-9RH0PI8</t>
  </si>
  <si>
    <t>Irvin</t>
  </si>
  <si>
    <t>網站韌性檢測
Website Resilience Testing</t>
  </si>
  <si>
    <t>開發工具檢測生活中的常用網站是否能承受台灣對外斷網。 hacking around tools to check whether a website is resilient to international internet down.</t>
  </si>
  <si>
    <t>CC0</t>
  </si>
  <si>
    <t>https://g0v.hackmd.io/@irvin/digital-services-resilience/edit</t>
  </si>
  <si>
    <t>https://www.twreporter.org/a/damaged-undersea-cables-raises-alarm-in-taiwan
https://github.com/irvin/digital-service-resilience</t>
  </si>
  <si>
    <t>resilience, web, cloud</t>
  </si>
  <si>
    <t>熟悉網路架構 / DevOps / 雲端的人
能把 node script 變成網站的人</t>
  </si>
  <si>
    <t>g0v slack #civil-defense</t>
  </si>
  <si>
    <t>Tiff</t>
  </si>
  <si>
    <t>Civic Tech Project &amp; Community Handbook</t>
  </si>
  <si>
    <t>CC BY-NC 4.0</t>
  </si>
  <si>
    <t>https://g0v.hackmd.io/@jothon/ctpbook_en</t>
  </si>
  <si>
    <t>https://docs.google.com/presentation/d/1Fg0GFbbbeJgs6IGzMroi_eEkZUNoyWuam9ZmpVSERH0/edit?usp=sharing</t>
  </si>
  <si>
    <t>公民科技、跨國經驗、數位公民素養/教育</t>
  </si>
  <si>
    <t>Isabel, Tiff</t>
  </si>
  <si>
    <t>負責任 AI 使用與開發指南
Responsible AI Guide</t>
  </si>
  <si>
    <t>用分享經驗與回饋，一起讓「負責任 AI 使用與開發指南」更符合使用者與開發者真實需求</t>
  </si>
  <si>
    <t>https://forms.gle/DjpoiYqCQ92FLY579</t>
  </si>
  <si>
    <t>https://docs.google.com/presentation/d/1Ib8A4pX1gWYYnAh-8QkEmz2FdL5nVFvp/edit?usp=sharing&amp;ouid=108684613353986701205&amp;rtpof=true&amp;sd=true</t>
  </si>
  <si>
    <t>AI 素養, 意見彙整</t>
  </si>
  <si>
    <t>歡迎對於 AI 有興趣的朋友</t>
  </si>
  <si>
    <t>g0v slack #ai-learning</t>
  </si>
  <si>
    <t>Dennis</t>
  </si>
  <si>
    <t>OpenStreetMap, Wikidata 開放內容貢獻</t>
  </si>
  <si>
    <t>大家來貢獻開放內容，畫地圖與建立維基數據資料</t>
  </si>
  <si>
    <r>
      <rPr>
        <color rgb="FF1155CC"/>
        <u/>
      </rPr>
      <t>https://wikidata.org</t>
    </r>
    <r>
      <rPr/>
      <t xml:space="preserve"> </t>
    </r>
    <r>
      <rPr>
        <color rgb="FF1155CC"/>
        <u/>
      </rPr>
      <t>https://www.openstreetmap.org</t>
    </r>
  </si>
  <si>
    <t>https://hackmd.io/@osm-tw/rJiFDnlt1g#/</t>
  </si>
  <si>
    <t>Open Content, OpenStreetMap, Wikidata</t>
  </si>
  <si>
    <t>dennis@wikimedia.tw</t>
  </si>
  <si>
    <t>kevin</t>
  </si>
  <si>
    <t>BMPP慢慢學中文：給印尼移工的中文學習工具</t>
  </si>
  <si>
    <t>創造好用的線上工具，讓印尼移工可以更方便自學中文！</t>
  </si>
  <si>
    <t>語言學習 移工 App</t>
  </si>
  <si>
    <t>移動APP 語言學習 傳播推廣</t>
  </si>
  <si>
    <t>phoenix000.taipei@gmail.com</t>
  </si>
  <si>
    <t>bil</t>
  </si>
  <si>
    <t xml:space="preserve">Cofacts 真的假的 </t>
  </si>
  <si>
    <t xml:space="preserve">Cofacts 在旁邊修issue 跟查核假資訊 </t>
  </si>
  <si>
    <t>MIT, 
CC-BY-SA</t>
  </si>
  <si>
    <t>https://cofacts.tw/hack</t>
  </si>
  <si>
    <t>https://docs.google.com/presentation/d/17qIoOJ5x0vwnMWEOOt4q-F4qcptBUTR-uzz6XLLofI4/edit#slide=id.g1355b4bfa31_0_134</t>
  </si>
  <si>
    <t>Ｙ</t>
  </si>
  <si>
    <t>程式開發、事實查核、搜尋引擎最佳化</t>
  </si>
  <si>
    <t>會 Google 找資料的人
會 NodeJS / ReactJS 的人
SEO 高手、UI / UX Designer</t>
  </si>
  <si>
    <t>g0v slack #cofacts @mrorz @bil</t>
  </si>
  <si>
    <t>Toomore</t>
  </si>
  <si>
    <t>OONI 臺灣網路自由觀察</t>
  </si>
  <si>
    <r>
      <rPr/>
      <t xml:space="preserve">OONI 既有的功能與臺灣網路現況搭配整合。
</t>
    </r>
    <r>
      <rPr>
        <color rgb="FF1155CC"/>
        <u/>
      </rPr>
      <t>https://ooni-research.ocf.tw/docs/</t>
    </r>
  </si>
  <si>
    <t>CC-BY 4.0</t>
  </si>
  <si>
    <t>https://docs.google.com/presentation/d/1vonxH016BKVcEgSqZk4PvUVhwscXf1Jz75h24HWDOjc/edit?usp=sharing</t>
  </si>
  <si>
    <t>網路審查、網站白名單、翻譯中文化</t>
  </si>
  <si>
    <t>Python、資料處理、文字校閱</t>
  </si>
  <si>
    <t>toomore@ocf.tw</t>
  </si>
  <si>
    <t>Brian &amp; Dawei</t>
  </si>
  <si>
    <t>台灣高碳排企業ESG魯洨洨</t>
  </si>
  <si>
    <t>台灣前十大高碳排企業永續表現研究，討論目前ESG漂綠及Green hushing評估問題</t>
  </si>
  <si>
    <t>https://docs.google.com/presentation/d/1wyEjfsCNnevvb0ps0RELY0xCkpan_NEqCoT1B14bf3A/edit?usp=sharing</t>
  </si>
  <si>
    <t>高碳排企業、企業永續、ESG</t>
  </si>
  <si>
    <t>Joanne</t>
  </si>
  <si>
    <t>轉屋教育：Groundi 高中生的熱情專案平台</t>
  </si>
  <si>
    <r>
      <rPr>
        <rFont val="Arial"/>
      </rPr>
      <t xml:space="preserve">媒合學生和社區/企業議題，引導學生從零到一開啟熱情專案。
</t>
    </r>
    <r>
      <rPr>
        <rFont val="Arial"/>
        <color rgb="FF1155CC"/>
        <u/>
      </rPr>
      <t>https://groundi.io/</t>
    </r>
  </si>
  <si>
    <t>https://hackmd.io/7qKSM1pRSTGzjxJaZ9q3cA?view</t>
  </si>
  <si>
    <t>https://pitch.com/v/return-inn-g0v-s7hr69</t>
  </si>
  <si>
    <t>108課綱、自主學習、設計思考</t>
  </si>
  <si>
    <t>UI UX 設計、平面設計、行銷、前端工程</t>
  </si>
  <si>
    <t>returninn@gmail.com</t>
  </si>
  <si>
    <t>https://www.youtube.com/watch?v=Li4KNe6M2-4</t>
  </si>
  <si>
    <t>宣蓉, 揪松團</t>
  </si>
  <si>
    <t>安全空間如何友善</t>
  </si>
  <si>
    <t>共同建構性別友善空間！</t>
  </si>
  <si>
    <t>https://g0v.hackmd.io/KehdQl1sTwyl28AnpPmvvQ?view</t>
  </si>
  <si>
    <t>https://reurl.cc/eGK0xQ</t>
  </si>
  <si>
    <t>性騷擾防治、身體界線、知情同意、性別友善空間</t>
  </si>
  <si>
    <t>對性別平等有興趣的人、空間設計相關背景</t>
  </si>
  <si>
    <t>Nataliya Gumenyuk</t>
  </si>
  <si>
    <t xml:space="preserve">  </t>
  </si>
  <si>
    <t>https://docs.google.com/document/d/1doyfkURxkCrqoXk7uyt2Hj9ltx-rEYYHsEL0lcNJusY/edit?tab=t.0</t>
  </si>
  <si>
    <t>https://docs.google.com/presentation/d/1U5NP92YJeTzOgRjDmPJ45xbiqwcqYsbU/edit?usp=drivesdk&amp;ouid=115613229829145960960&amp;rtpof=true&amp;sd=true</t>
  </si>
  <si>
    <t>== 截止 ==</t>
  </si>
  <si>
    <t>候補</t>
  </si>
  <si>
    <t>Peter, Fen</t>
  </si>
  <si>
    <t>長照監控警示系統</t>
  </si>
  <si>
    <t>針對行動不便或是獨居等長照對象所設置的警示系統</t>
  </si>
  <si>
    <t>https://docs.google.com/presentation/d/1majtto8HjAD50k39PVMDigejxMtGIcph/edit?usp=sharing&amp;ouid=112543524398015585597&amp;rtpof=true&amp;sd=true</t>
  </si>
  <si>
    <t>游良福</t>
  </si>
  <si>
    <t>如何避免兩岸戰事？</t>
  </si>
  <si>
    <t>擴大自己的政治影響力</t>
  </si>
  <si>
    <t>https://docs.google.com/presentation/d/1fRoRC5mRMqUldpCE3hL9kKv4SIkjK6iIIE4msQhxGws/edit?usp=sharing</t>
  </si>
  <si>
    <t>宏信</t>
  </si>
  <si>
    <t>Linux Odyssey</t>
  </si>
  <si>
    <t>互動式指令教學網站</t>
  </si>
  <si>
    <t>GPL</t>
  </si>
  <si>
    <t>https://hackmd.io/@linux-odyssey/g0v-20250202</t>
  </si>
  <si>
    <t>https://hackmd.io/@linux-odyssey/project-intro</t>
  </si>
  <si>
    <t>指令、資訊教育、Linux</t>
  </si>
  <si>
    <t>Slack #linux-odyssey</t>
  </si>
  <si>
    <t>MT</t>
  </si>
  <si>
    <t>請支援造冊</t>
  </si>
  <si>
    <t>total recall 效率化</t>
  </si>
  <si>
    <t>CC-BY-SA</t>
  </si>
  <si>
    <t>https://drive.google.com/file/d/1ff94ncpP_xl3i7YvMxIbLZ84Ad3C1ZQJ/view?usp=drivesdk</t>
  </si>
  <si>
    <t>罷免 紙本 效率</t>
  </si>
  <si>
    <t>專案管理 公民運動 數位化 空間規劃</t>
  </si>
  <si>
    <t>https://facebook.com/manting</t>
  </si>
  <si>
    <t>Ronny</t>
  </si>
  <si>
    <t>預算資料公開群眾外包</t>
  </si>
  <si>
    <t>https://g0v.hackmd.io/@jothon/budget/https%3A%2F%2Fg0v.hackmd.io%2F01j1yrIeQ_eEWQhvFI8Gyw%3Fview</t>
  </si>
  <si>
    <t>預算 國會</t>
  </si>
  <si>
    <t>Slack #ly</t>
  </si>
  <si>
    <t>10:50-11:30 【AI 包容共學計畫種籽師資招募說明會】主會場 Main Venue
AI Inclusive Co-Learning Project</t>
  </si>
  <si>
    <t>11:30-12:00 【負責任的 AI 工作坊】主會場 Main Venue
Responsible AI Workshop</t>
  </si>
  <si>
    <t>12:00-13:00 Lunch【午餐時間】Flavor of Resilience
Recall the memories, Recipe for strength, Revive the resistance.</t>
  </si>
  <si>
    <r>
      <rPr>
        <sz val="12.0"/>
      </rPr>
      <t xml:space="preserve">Commemorative Dishes for the </t>
    </r>
    <r>
      <rPr>
        <color rgb="FF1155CC"/>
        <sz val="12.0"/>
        <u/>
      </rPr>
      <t>1947.02.28 Incident</t>
    </r>
    <r>
      <rPr>
        <sz val="12.0"/>
      </rPr>
      <t>: 
Porridge (Vegetarian Sweet Potato Congee), Rice Balls, Mung Bean Cake
紀念 228 事件的餐點：粥 (素食_地瓜稀飯)、飯糰、綠豆潤</t>
    </r>
  </si>
  <si>
    <t>Traditional Ukrainian Cuisine
烏克蘭傳統菜色餐點：傳統沙拉 Olivie、煙燻肉 Balik、Meatball、克瓦司 Kvass、小點心</t>
  </si>
  <si>
    <t>Hackathon Signature Combo: Pizza, Fried Chicken, Cola
黑客松任性套餐：披薩、炸雞、可樂</t>
  </si>
  <si>
    <t>Taiwanese Catering
Vegetarian Taro Fried Rice Noodles, Vegetarian Double Mushroom &amp; Cauliflower,
Mouthwatering Chicken, Sweet and Sour Fish Fillets
台式外燴：素-芋頭炒米粉、素-雙菇花椰菜、口水雞、糖醋魚塊</t>
  </si>
  <si>
    <t>Hong Kong Snacks (available from 12:30)
Pineapple Bun , Siu Mai, Custard Bun, Hong Kong-Style Milk Tea
香港茶點：菠蘿油、燒賣、奶黃包、港式奶茶</t>
  </si>
  <si>
    <r>
      <rPr>
        <b/>
        <color rgb="FFFF9700"/>
        <sz val="17.0"/>
      </rPr>
      <t xml:space="preserve">13:00-14:00【烏克蘭主題紀錄影像播放】主會場 Main Venue
</t>
    </r>
    <r>
      <rPr>
        <b/>
        <color rgb="FFFF9700"/>
        <sz val="13.0"/>
      </rPr>
      <t>Documentary films about life under occupation and attacks on civilian infrastructure.</t>
    </r>
    <r>
      <rPr>
        <b/>
        <color rgb="FFFF9700"/>
        <sz val="17.0"/>
      </rPr>
      <t xml:space="preserve">
What the Russian War Against Ukraine Looks Like. Crimes, Not Tragedies</t>
    </r>
  </si>
  <si>
    <t>Document &amp;
Video Links</t>
  </si>
  <si>
    <t>Shared Note</t>
  </si>
  <si>
    <t>https://g0v.hackmd.io/@chihao/ukraine/https%3A%2F%2Fg0v.hackmd.io%2F07LyEBBiSYmV-Lplmqg0bg%3Fview</t>
  </si>
  <si>
    <t>14:00 Afternoon Snacks【下午茶點時間】</t>
  </si>
  <si>
    <t>Myanmar and Southeast Asian Snacks
Burmese Palm Sugar Pancake, Coconut Milk Sago Cake, Bubur Cha Cha Sago Cake, Yunnan Cold Pea Jelly Salad
Vietnamese Pandan Mung Bean Cake, Thai Coconut Milk Layer Cake, Double-Layer Coconut Jelly, 
Burmese Milk Tea Pudding, Pandan Madeleines, Pandan Coconut Snowflake Crisp Cookies
緬甸與東南亞茶點：緬甸棕糖鬆餅、椰奶西米露糕、摩摩渣渣西米露糕、雲南涼拌豌豆粉、
越南香蘭綠豆糕、泰式椰奶千層糕、雙層椰奶凍、緬甸奶茶布丁、香蘭瑪德連、香蘭椰奶雪花酥餅</t>
  </si>
  <si>
    <t>Hong Kong Snacks
Pineapple Bun , Siu Mai, Custard Bun, Hong Kong-Style Milk Tea
香港茶點：菠蘿油、燒賣、奶黃包、港式奶茶</t>
  </si>
  <si>
    <r>
      <rPr>
        <sz val="12.0"/>
      </rPr>
      <t xml:space="preserve">Snacks from Island: </t>
    </r>
    <r>
      <rPr>
        <color rgb="FF1155CC"/>
        <sz val="12.0"/>
        <u/>
      </rPr>
      <t>Matsu</t>
    </r>
    <r>
      <rPr>
        <sz val="12.0"/>
      </rPr>
      <t xml:space="preserve">, </t>
    </r>
    <r>
      <rPr>
        <color rgb="FF1155CC"/>
        <sz val="12.0"/>
        <u/>
      </rPr>
      <t>Penghu</t>
    </r>
    <r>
      <rPr>
        <sz val="12.0"/>
      </rPr>
      <t xml:space="preserve">
Matsu Mussel Potato Chips, Mussel Fries, Matsu Fish Noodle Crisps, 
Red Yeast Bite-Sized Pastry, Penghu Scallop Sauce Rice Crackers
島嶼前線的零嘴：馬祖淡菜洋芋片、淡菜薯條、馬祖魚麵片、紅麴一口酥、澎湖干貝醬米香</t>
    </r>
  </si>
  <si>
    <t>Taiwan Snacks
Pineapple Cake, Millet, red quinoa, purple rice, and brown rice caramelized peanut brittle.
鳳梨酥, 小米, 紅藜, 紫米, 糙米焦香花生酥</t>
  </si>
  <si>
    <t>14:30-15:00 Newcomer workshop: intro about g0v community &amp; open resource
【零時小學校新手村】主會場 Main Venue</t>
  </si>
  <si>
    <t>歡迎參加 g0v 新手村
認識與貢獻群眾協力型專案、認識線上課程資源、帶你來提案線上課程</t>
  </si>
  <si>
    <t>15:30 Talk【短講報名】每個 present 8min，分享議題、專案、研究、技術皆可。</t>
  </si>
  <si>
    <t>順序</t>
  </si>
  <si>
    <t>發表時間（自填）</t>
  </si>
  <si>
    <t>錄影以 CC-BY 釋出?</t>
  </si>
  <si>
    <t>相關連結
Links</t>
  </si>
  <si>
    <t>三個關鍵字
3 Keywords of Project</t>
  </si>
  <si>
    <t>專案徵人
Recruitment (talents?)</t>
  </si>
  <si>
    <t>坑主聯絡方式</t>
  </si>
  <si>
    <t>ipa</t>
  </si>
  <si>
    <t>訪父記</t>
  </si>
  <si>
    <t>知識社群，到公民科技社群</t>
  </si>
  <si>
    <t xml:space="preserve">vTaiwan </t>
  </si>
  <si>
    <t>用 mentimeter 來做議題小聚</t>
  </si>
  <si>
    <t>https://docs.google.com/presentation/d/1GRT_R_xcsa2OqWc11E75cgZH3O-pQEsG97EcSjnmgPw/edit?usp=sharing</t>
  </si>
  <si>
    <t>https://www.menti.com/alpe4zzw5uf3</t>
  </si>
  <si>
    <t>g0v 國會松 Congressthon</t>
  </si>
  <si>
    <t>https://docs.google.com/presentation/d/1wDHdZWwurH64_6bfUV1cTQTI5vrWs_njVr5xyqbnk18/edit?usp=sharing</t>
  </si>
  <si>
    <t>Vivian</t>
  </si>
  <si>
    <t>Reimagine Myanmar</t>
  </si>
  <si>
    <t>Decentralized tech for pro democracy movement in Myanmar</t>
  </si>
  <si>
    <t>Building Resilience Through Social Networks</t>
  </si>
  <si>
    <t>https://docs.google.com/presentation/d/1TG1h8FLrp4QToNOFUhjI7SY-bERv9eLuw3F0GInm-lQ/edit#slide=id.g338fea147b6_1_12</t>
  </si>
  <si>
    <t>16:30 Present project【成果報告】 每個 present 5min，可視 project 數量和剩餘時間調整</t>
  </si>
  <si>
    <t>caleb</t>
  </si>
  <si>
    <t>https://docs.google.com/presentation/d/1ZNWRijFSKdRUBUFVlm4_4NkuRRHg-z9MG-ewMqWSZlU/edit?usp=sharing</t>
  </si>
  <si>
    <t>請支援造冊
Support Total recall</t>
  </si>
  <si>
    <t>造冊效率化</t>
  </si>
  <si>
    <t>https://www.canva.com/design/DAGfzEbPqKY/tdT6TvwgnB4xC_YoPaLIhA/view?utm_content=DAGfzEbPqKY&amp;utm_campaign=designshare&amp;utm_medium=link2&amp;utm_source=uniquelinks&amp;utlId=h1faef6fdbe</t>
  </si>
  <si>
    <t>https://g0v-tw.slack.com/archives/C02G2SXKX/p1740215069461269</t>
  </si>
  <si>
    <t>專案管理
空間規劃
OCR</t>
  </si>
  <si>
    <r>
      <rPr>
        <color rgb="FF1155CC"/>
        <u/>
      </rPr>
      <t>https://signal.me/#eu/DTsSnbEbkjPbR4-u5Myq3xSOwKOej3v0Tz5Rtr77ag38nkSjmKJHxofZCoPXpL6K</t>
    </r>
  </si>
  <si>
    <t>peter</t>
  </si>
  <si>
    <t xml:space="preserve">Y </t>
  </si>
  <si>
    <t>https://docs.google.com/presentation/d/1TetOIDhmsF-TqFgcDLkToOl6sOdZHkG09aAubZg5bMc/edit#slide=id.g338fefa1808_0_7</t>
  </si>
  <si>
    <t>Tiff, Isabel</t>
  </si>
  <si>
    <t>https://docs.google.com/document/d/1z7P43rCTNL_KDOSOn824dLUWjOejeYouj-m_vQ9AX5k/edit?usp=sharing</t>
  </si>
  <si>
    <t>MG Lee</t>
  </si>
  <si>
    <t>g0v民族誌</t>
  </si>
  <si>
    <t>ID&lt;&gt;姓名對照表</t>
  </si>
  <si>
    <t>https://docs.google.com/spreadsheets/d/1V2A7alI26xWKVH3VE2uwap7M2lMR3EfVTEXmND1MDSE/edit?gid=0#gid=0</t>
  </si>
  <si>
    <t>https://docs.google.com/presentation/d/1LQI8c2Ad8ACfIusJWznDoQsju5VlfHE29MoSLDHO_EA/edit?usp=sharing</t>
  </si>
  <si>
    <t>chewei</t>
  </si>
  <si>
    <t>Crowdtribute
公民科學與群眾參與計畫</t>
  </si>
  <si>
    <t>Crowdtribute
公民科學與群眾參與計畫
案例蒐集與討論</t>
  </si>
  <si>
    <t>https://g0v.hackmd.io/@chewei/crowdtribute/</t>
  </si>
  <si>
    <t>游先生</t>
  </si>
  <si>
    <t>2300萬人個資外洩進度分享</t>
  </si>
  <si>
    <t>https://g0v.hackmd.io/biVc1IjZQXull4mWrqhlKA</t>
  </si>
  <si>
    <t>Jothon 揪松團</t>
  </si>
  <si>
    <t>歡迎大家填寫影響力問卷 
Participation Satisfaction and Impact Survey</t>
  </si>
  <si>
    <r>
      <rPr/>
      <t xml:space="preserve">中文版：
</t>
    </r>
    <r>
      <rPr>
        <color rgb="FF1155CC"/>
        <u/>
      </rPr>
      <t>https://bit.ly/0123g0vsurvey</t>
    </r>
    <r>
      <rPr/>
      <t xml:space="preserve">
English version：
</t>
    </r>
    <r>
      <rPr>
        <color rgb="FF1155CC"/>
        <u/>
      </rPr>
      <t>https://forms.gle/t9CrFEHtMGQ253JBA</t>
    </r>
  </si>
  <si>
    <t>irvin</t>
  </si>
  <si>
    <t>晚一步沒格子啦！</t>
  </si>
  <si>
    <t>common voice 偷偷宣傳一下 (irvin)</t>
  </si>
  <si>
    <r>
      <rPr/>
      <t xml:space="preserve">錄台語 </t>
    </r>
    <r>
      <rPr>
        <color rgb="FF1155CC"/>
        <u/>
      </rPr>
      <t>http://commonvoice.mozilla.org/nan-tw/listen</t>
    </r>
  </si>
  <si>
    <r>
      <rPr/>
      <t xml:space="preserve">錄族語 </t>
    </r>
    <r>
      <rPr>
        <color rgb="FF1155CC"/>
        <u/>
      </rPr>
      <t>https://medium.com/mozilla-related/common-voice-eight-formosan-languages-65b79fbd2c38</t>
    </r>
  </si>
  <si>
    <r>
      <rPr>
        <b/>
        <color rgb="FFFF9700"/>
        <sz val="17.0"/>
      </rPr>
      <t xml:space="preserve">請留意自身物品 Common Lost items ! Don’t forget to bring them home!
</t>
    </r>
    <r>
      <rPr>
        <b/>
        <color rgb="FFFF9700"/>
        <sz val="14.0"/>
      </rPr>
      <t>充電線、插座頭、USB Charging items: Wires &amp; Plugs
保溫杯、環保餐具與筷子 Waterbottles, tablewares and chopsticks
外套、圍巾 Clothes: Jacket, Scarf
錢包、手機 Important items: Wallet, cellphones</t>
    </r>
  </si>
  <si>
    <r>
      <rPr>
        <sz val="35.0"/>
      </rPr>
      <t>主會場 Main Venue</t>
    </r>
    <r>
      <rPr>
        <sz val="24.0"/>
      </rPr>
      <t xml:space="preserve">
</t>
    </r>
    <r>
      <rPr>
        <b/>
        <color rgb="FFFF0000"/>
        <sz val="28.0"/>
      </rPr>
      <t>不可以飲食 No eating or drinking</t>
    </r>
  </si>
  <si>
    <t>廁所
Restroom</t>
  </si>
  <si>
    <t xml:space="preserve">走道 Hallway </t>
  </si>
  <si>
    <t>垃圾桶
Trash Bin</t>
  </si>
  <si>
    <t>取餐區, 流理臺
🍕 Food pickup
Kitchen counter</t>
  </si>
  <si>
    <t xml:space="preserve">走
道
Hallway </t>
  </si>
  <si>
    <t>報到
Registration 
area</t>
  </si>
  <si>
    <t>分組工作區
Group work area</t>
  </si>
  <si>
    <t>Group work area</t>
  </si>
  <si>
    <t>樓梯
Stair</t>
  </si>
  <si>
    <t>→</t>
  </si>
  <si>
    <t xml:space="preserve"> ▲ Entrance</t>
  </si>
  <si>
    <r>
      <rPr>
        <color rgb="FF000000"/>
        <sz val="14.0"/>
      </rPr>
      <t xml:space="preserve">2025/02/22 g0v 黑客松餐飲菜單 食物與韌性 Flavor of Resilience </t>
    </r>
    <r>
      <rPr>
        <color rgb="FF1155CC"/>
        <sz val="14.0"/>
        <u/>
      </rPr>
      <t>共筆</t>
    </r>
  </si>
  <si>
    <r>
      <rPr>
        <b/>
        <color rgb="FFFFFFFF"/>
        <sz val="22.0"/>
      </rPr>
      <t>限量早餐 Breakfast</t>
    </r>
    <r>
      <rPr>
        <b/>
        <color rgb="FFFFFFFF"/>
        <sz val="16.0"/>
      </rPr>
      <t xml:space="preserve">
</t>
    </r>
    <r>
      <rPr>
        <b/>
        <color rgb="FFFFD966"/>
        <sz val="16.0"/>
      </rPr>
      <t>Limited quantity</t>
    </r>
    <r>
      <rPr>
        <b/>
        <color rgb="FFFFFFFF"/>
        <sz val="16.0"/>
      </rPr>
      <t>, priority will be given to participants who arrive in a rush.</t>
    </r>
  </si>
  <si>
    <t>冰箱</t>
  </si>
  <si>
    <t>飲水機</t>
  </si>
  <si>
    <t>洗手台</t>
  </si>
  <si>
    <t>微波爐</t>
  </si>
  <si>
    <r>
      <rPr>
        <rFont val="arial,sans,sans-serif"/>
        <sz val="16.0"/>
      </rPr>
      <t xml:space="preserve">飲料區（共五桶）
</t>
    </r>
    <r>
      <rPr>
        <rFont val="arial,sans,sans-serif"/>
        <sz val="11.0"/>
      </rPr>
      <t>熱香柚茶 Hot Grapefruit Tea
熱紅茶 Hot Black Tea
冰紅茶 Iced Black Tea
柳橙汁 Orange Juice
LAVAZZA 熱咖啡 Hot Coffee</t>
    </r>
  </si>
  <si>
    <t>走道</t>
  </si>
  <si>
    <r>
      <rPr>
        <rFont val="arial,sans,sans-serif"/>
        <sz val="16.0"/>
      </rPr>
      <t xml:space="preserve">餅乾零食
</t>
    </r>
    <r>
      <rPr>
        <rFont val="arial,sans,sans-serif"/>
        <sz val="13.0"/>
      </rPr>
      <t>Snack</t>
    </r>
  </si>
  <si>
    <r>
      <rPr>
        <rFont val="arial,sans,sans-serif"/>
        <sz val="16.0"/>
      </rPr>
      <t xml:space="preserve">素食_時鮮蔬菜潤餅捲 (Vegetarian) 
</t>
    </r>
    <r>
      <rPr>
        <rFont val="arial,sans,sans-serif"/>
        <sz val="13.0"/>
      </rPr>
      <t>Seasonal Vegetable Spring Rolls</t>
    </r>
  </si>
  <si>
    <r>
      <rPr>
        <rFont val="arial,sans,sans-serif"/>
        <sz val="16.0"/>
      </rPr>
      <t xml:space="preserve">可頌壽司捲
</t>
    </r>
    <r>
      <rPr>
        <rFont val="arial,sans,sans-serif"/>
        <sz val="13.0"/>
      </rPr>
      <t>Croissant Sushi Roll</t>
    </r>
  </si>
  <si>
    <t>台灣書</t>
  </si>
  <si>
    <t>烏克蘭書</t>
  </si>
  <si>
    <t>緬甸書</t>
  </si>
  <si>
    <t>香港書</t>
  </si>
  <si>
    <r>
      <rPr>
        <b/>
        <color rgb="FFFFFFFF"/>
        <sz val="22.0"/>
      </rPr>
      <t xml:space="preserve">午餐時間 Lunch
</t>
    </r>
    <r>
      <rPr>
        <b/>
        <color rgb="FFFFFFFF"/>
        <sz val="16.0"/>
      </rPr>
      <t xml:space="preserve">12:00～13:00 </t>
    </r>
  </si>
  <si>
    <r>
      <rPr>
        <rFont val="arial,sans,sans-serif"/>
        <sz val="16.0"/>
      </rPr>
      <t xml:space="preserve">飲料區（共六桶）
</t>
    </r>
    <r>
      <rPr>
        <rFont val="arial,sans,sans-serif"/>
        <sz val="11.0"/>
      </rPr>
      <t>熱香柚茶 Hot Grapefruit Tea
熱紅茶 Hot Black Tea
冰紅茶 Iced Black Tea
柳橙汁 Orange Juice
LAVAZZA 熱咖啡 Hot Coffee
克瓦司 Kvass</t>
    </r>
  </si>
  <si>
    <r>
      <rPr>
        <sz val="16.0"/>
      </rPr>
      <t xml:space="preserve">
台式外燴 Taiwanese Catering
</t>
    </r>
    <r>
      <rPr>
        <sz val="11.0"/>
      </rPr>
      <t xml:space="preserve">Vegetarian Taro Fried Rice Noodles, Vegetarian Double Mushroom &amp; Cauliflower,
Mouthwatering Chicken, Sweet and Sour Fish Fillets
素-芋頭炒米粉、素-雙菇花椰菜、口水雞、糖醋魚塊
</t>
    </r>
  </si>
  <si>
    <r>
      <rPr>
        <sz val="16.0"/>
      </rPr>
      <t xml:space="preserve">
黑客松任性套餐
Hackathon Signature Combo: 
</t>
    </r>
    <r>
      <rPr>
        <sz val="11.0"/>
      </rPr>
      <t>Pizza, Fried Chicken, Cola
披薩、炸雞、可樂</t>
    </r>
  </si>
  <si>
    <t xml:space="preserve">
便當</t>
  </si>
  <si>
    <r>
      <rPr>
        <sz val="16.0"/>
      </rPr>
      <t xml:space="preserve">
台灣食物（紀念 228 事件的餐點）
</t>
    </r>
    <r>
      <rPr>
        <sz val="13.0"/>
      </rPr>
      <t xml:space="preserve">Commemorative Dishes for the </t>
    </r>
    <r>
      <rPr>
        <color rgb="FF1155CC"/>
        <sz val="13.0"/>
        <u/>
      </rPr>
      <t>1947.02.28</t>
    </r>
    <r>
      <rPr>
        <sz val="13.0"/>
      </rPr>
      <t xml:space="preserve"> Incident:</t>
    </r>
    <r>
      <rPr>
        <sz val="16.0"/>
      </rPr>
      <t xml:space="preserve">
</t>
    </r>
    <r>
      <rPr>
        <sz val="11.0"/>
      </rPr>
      <t>Porridge (Vegetarian Sweet Potato Congee), Rice Balls, Mung Bean Cake
粥 (素食_地瓜稀飯)、飯糰、綠豆潤</t>
    </r>
  </si>
  <si>
    <r>
      <rPr>
        <sz val="16.0"/>
      </rPr>
      <t xml:space="preserve">
烏克蘭傳統菜色餐點
</t>
    </r>
    <r>
      <rPr>
        <sz val="13.0"/>
      </rPr>
      <t>Traditional Ukrainian Cuisine</t>
    </r>
    <r>
      <rPr>
        <sz val="16.0"/>
      </rPr>
      <t xml:space="preserve">
</t>
    </r>
    <r>
      <rPr>
        <sz val="11.0"/>
      </rPr>
      <t>傳統沙拉 Olivie、煙燻肉 Balik、Meatball、小點心</t>
    </r>
  </si>
  <si>
    <t xml:space="preserve">
</t>
  </si>
  <si>
    <r>
      <rPr>
        <sz val="16.0"/>
      </rPr>
      <t xml:space="preserve">
香港茶點
</t>
    </r>
    <r>
      <rPr>
        <sz val="13.0"/>
      </rPr>
      <t>Hong Kong Snacks (available from 12:30)</t>
    </r>
    <r>
      <rPr>
        <sz val="16.0"/>
      </rPr>
      <t xml:space="preserve">
</t>
    </r>
    <r>
      <rPr>
        <sz val="11.0"/>
      </rPr>
      <t xml:space="preserve">Pineapple Bun , Siu Mai, Custard Bun, Hong Kong-Style Milk Tea
菠蘿油、燒賣、奶黃包、港式奶茶
</t>
    </r>
  </si>
  <si>
    <r>
      <rPr>
        <b/>
        <color rgb="FFFFFFFF"/>
        <sz val="22.0"/>
      </rPr>
      <t xml:space="preserve">下午茶點時間 Afternoon Snacks
</t>
    </r>
    <r>
      <rPr>
        <b/>
        <color rgb="FFFFFFFF"/>
        <sz val="16.0"/>
      </rPr>
      <t>14:00～</t>
    </r>
  </si>
  <si>
    <r>
      <rPr>
        <rFont val="arial,sans,sans-serif"/>
        <sz val="16.0"/>
      </rPr>
      <t xml:space="preserve">飲料區（共六桶）
</t>
    </r>
    <r>
      <rPr>
        <rFont val="arial,sans,sans-serif"/>
        <sz val="11.0"/>
      </rPr>
      <t>熱香柚茶 Hot Grapefruit Tea
熱紅茶 Hot Black Tea
冰紅茶 Iced Black Tea
柳橙汁 Orange Juice
LAVAZZA 熱咖啡 Hot Coffee
克瓦司 Kvass</t>
    </r>
  </si>
  <si>
    <r>
      <rPr>
        <sz val="16.0"/>
      </rPr>
      <t xml:space="preserve">島嶼前線的零嘴
Snacks from Island: </t>
    </r>
    <r>
      <rPr>
        <color rgb="FF1155CC"/>
        <sz val="16.0"/>
        <u/>
      </rPr>
      <t>Matsu</t>
    </r>
    <r>
      <rPr>
        <sz val="16.0"/>
      </rPr>
      <t xml:space="preserve">, </t>
    </r>
    <r>
      <rPr>
        <color rgb="FF1155CC"/>
        <sz val="16.0"/>
        <u/>
      </rPr>
      <t>Penghu</t>
    </r>
    <r>
      <rPr>
        <sz val="12.0"/>
      </rPr>
      <t xml:space="preserve">
</t>
    </r>
    <r>
      <rPr>
        <sz val="11.0"/>
      </rPr>
      <t>Matsu Mussel Potato Chips, Mussel Fries, Matsu Fish Noodle Crisps, 
Red Yeast Bite-Sized Pastry, Penghu Scallop Sauce Rice Crackers
馬祖淡菜洋芋片、淡菜薯條、馬祖魚麵片、紅麴一口酥、澎湖干貝醬米香</t>
    </r>
  </si>
  <si>
    <r>
      <rPr>
        <sz val="16.0"/>
      </rPr>
      <t xml:space="preserve">
台灣茶點、零嘴
Taiwan Snacks
</t>
    </r>
    <r>
      <rPr>
        <sz val="11.0"/>
      </rPr>
      <t>Pineapple Cake, Millet, red quinoa,</t>
    </r>
    <r>
      <rPr>
        <color rgb="FF000000"/>
        <sz val="11.0"/>
      </rPr>
      <t xml:space="preserve"> purple ri</t>
    </r>
    <r>
      <rPr>
        <sz val="11.0"/>
      </rPr>
      <t>ce, and brown rice caramelized peanut brittle.
鳳梨酥, 小米, 紅藜, 紫米, 糙米焦香花生酥</t>
    </r>
  </si>
  <si>
    <r>
      <rPr>
        <sz val="16.0"/>
      </rPr>
      <t xml:space="preserve">
緬甸與東南亞茶點
Myanmar and Southeast Asian Snacks
</t>
    </r>
    <r>
      <rPr>
        <sz val="11.0"/>
      </rPr>
      <t>Burmese Palm Sugar Pancake, Coconut Milk Sago Cake, Bubur Cha Cha Sago Cake, Yunnan Cold Pea Jelly Salad</t>
    </r>
    <r>
      <rPr>
        <sz val="16.0"/>
      </rPr>
      <t xml:space="preserve">
</t>
    </r>
    <r>
      <rPr>
        <sz val="11.0"/>
      </rPr>
      <t xml:space="preserve">Vietnamese Pandan Mung Bean Cake, Thai Coconut Milk Layer Cake, Double-Layer Coconut Jelly, 
Burmese Milk Tea Pudding, Pandan Madeleines, Pandan Coconut Snowflake Crisp Cookies
緬甸棕糖鬆餅、椰奶西米露糕、摩摩渣渣西米露糕、雲南涼拌豌豆粉、
越南香蘭綠豆糕、泰式椰奶千層糕、雙層椰奶凍、緬甸奶茶布丁、香蘭瑪德連、香蘭椰奶雪花酥餅
</t>
    </r>
  </si>
  <si>
    <r>
      <rPr>
        <sz val="16.0"/>
      </rPr>
      <t xml:space="preserve">
香港茶點
</t>
    </r>
    <r>
      <rPr>
        <sz val="13.0"/>
      </rPr>
      <t>Hong Kong Snacks (available from 12:30)</t>
    </r>
    <r>
      <rPr>
        <sz val="16.0"/>
      </rPr>
      <t xml:space="preserve">
</t>
    </r>
    <r>
      <rPr>
        <sz val="11.0"/>
      </rPr>
      <t xml:space="preserve">Pineapple Bun , Siu Mai, Custard Bun, Hong Kong-Style Milk Tea
菠蘿油、燒賣、奶黃包、港式奶茶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</si>
</sst>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numFmts>
  <fonts count="45">
    <font>
      <sz val="10.0"/>
      <color rgb="FF000000"/>
      <name val="Arial"/>
    </font>
    <font>
      <b/>
      <sz val="17.0"/>
      <color rgb="FFFFF2CC"/>
    </font>
    <font>
      <b/>
      <sz val="17.0"/>
      <color rgb="FFFF9700"/>
    </font>
    <font>
      <b/>
      <sz val="10.0"/>
    </font>
    <font>
      <b/>
      <sz val="8.0"/>
    </font>
    <font>
      <b/>
      <sz val="17.0"/>
      <color rgb="FFFF9700"/>
      <name val="Arial"/>
    </font>
    <font>
      <name val="Arial"/>
    </font>
    <font>
      <sz val="11.0"/>
    </font>
    <font/>
    <font>
      <sz val="12.0"/>
    </font>
    <font>
      <sz val="10.0"/>
      <color rgb="FF000000"/>
    </font>
    <font>
      <u/>
      <color rgb="FF0000FF"/>
    </font>
    <font>
      <sz val="9.0"/>
      <color rgb="FF008000"/>
      <name val="&quot;Google Sans Mono&quot;"/>
    </font>
    <font>
      <color rgb="FFFF9900"/>
    </font>
    <font>
      <color rgb="FF1155CC"/>
    </font>
    <font>
      <sz val="10.0"/>
    </font>
    <font>
      <u/>
      <sz val="10.0"/>
      <color rgb="FF0000FF"/>
    </font>
    <font>
      <u/>
      <color rgb="FF0000FF"/>
      <name val="Arial"/>
    </font>
    <font>
      <u/>
      <color rgb="FF0000FF"/>
    </font>
    <font>
      <sz val="11.0"/>
      <color rgb="FF000000"/>
      <name val="&quot;Times New Roman&quot;"/>
    </font>
    <font>
      <u/>
      <sz val="12.0"/>
      <color rgb="FF0000FF"/>
    </font>
    <font>
      <b/>
      <sz val="11.0"/>
    </font>
    <font>
      <u/>
      <color rgb="FF0000FF"/>
    </font>
    <font>
      <color rgb="FF000000"/>
    </font>
    <font>
      <u/>
      <color rgb="FF0000FF"/>
    </font>
    <font>
      <u/>
      <sz val="12.0"/>
      <color rgb="FF0000FF"/>
      <name val="Arial"/>
    </font>
    <font>
      <u/>
      <color rgb="FFDCA10D"/>
    </font>
    <font>
      <sz val="11.0"/>
      <color rgb="FF2B80B9"/>
    </font>
    <font>
      <color rgb="FFDCA10D"/>
    </font>
    <font>
      <u/>
      <color rgb="FF0000FF"/>
    </font>
    <font>
      <sz val="24.0"/>
    </font>
    <font>
      <sz val="22.0"/>
    </font>
    <font>
      <sz val="17.0"/>
      <color rgb="FFFF9900"/>
    </font>
    <font>
      <sz val="21.0"/>
    </font>
    <font>
      <sz val="16.0"/>
    </font>
    <font>
      <sz val="14.0"/>
    </font>
    <font>
      <sz val="31.0"/>
    </font>
    <font>
      <sz val="28.0"/>
    </font>
    <font>
      <u/>
      <sz val="14.0"/>
      <color rgb="FF000000"/>
    </font>
    <font>
      <b/>
      <sz val="16.0"/>
      <color rgb="FFFFFFFF"/>
    </font>
    <font>
      <sz val="16.0"/>
      <color rgb="FFF3F3F3"/>
      <name val="Arial"/>
    </font>
    <font>
      <sz val="16.0"/>
      <name val="Arial"/>
    </font>
    <font>
      <b/>
      <sz val="22.0"/>
      <color rgb="FFFFFFFF"/>
    </font>
    <font>
      <sz val="16.0"/>
      <color rgb="FFF3F3F3"/>
    </font>
    <font>
      <u/>
      <sz val="16.0"/>
      <color rgb="FF0000FF"/>
    </font>
  </fonts>
  <fills count="21">
    <fill>
      <patternFill patternType="none"/>
    </fill>
    <fill>
      <patternFill patternType="lightGray"/>
    </fill>
    <fill>
      <patternFill patternType="solid">
        <fgColor rgb="FF38761D"/>
        <bgColor rgb="FF38761D"/>
      </patternFill>
    </fill>
    <fill>
      <patternFill patternType="solid">
        <fgColor rgb="FFE4EBE1"/>
        <bgColor rgb="FFE4EBE1"/>
      </patternFill>
    </fill>
    <fill>
      <patternFill patternType="solid">
        <fgColor rgb="FF000000"/>
        <bgColor rgb="FF000000"/>
      </patternFill>
    </fill>
    <fill>
      <patternFill patternType="solid">
        <fgColor rgb="FFFFF2CC"/>
        <bgColor rgb="FFFFF2CC"/>
      </patternFill>
    </fill>
    <fill>
      <patternFill patternType="solid">
        <fgColor rgb="FFFFFFFF"/>
        <bgColor rgb="FFFFFFFF"/>
      </patternFill>
    </fill>
    <fill>
      <patternFill patternType="solid">
        <fgColor rgb="FFEBD7E5"/>
        <bgColor rgb="FFEBD7E5"/>
      </patternFill>
    </fill>
    <fill>
      <patternFill patternType="solid">
        <fgColor rgb="FFF4CCCC"/>
        <bgColor rgb="FFF4CCCC"/>
      </patternFill>
    </fill>
    <fill>
      <patternFill patternType="solid">
        <fgColor rgb="FFFF9900"/>
        <bgColor rgb="FFFF9900"/>
      </patternFill>
    </fill>
    <fill>
      <patternFill patternType="solid">
        <fgColor rgb="FFEFEFEF"/>
        <bgColor rgb="FFEFEFEF"/>
      </patternFill>
    </fill>
    <fill>
      <patternFill patternType="solid">
        <fgColor rgb="FFF3F3F3"/>
        <bgColor rgb="FFF3F3F3"/>
      </patternFill>
    </fill>
    <fill>
      <patternFill patternType="solid">
        <fgColor rgb="FFFCE5CD"/>
        <bgColor rgb="FFFCE5CD"/>
      </patternFill>
    </fill>
    <fill>
      <patternFill patternType="solid">
        <fgColor rgb="FFF9CB9C"/>
        <bgColor rgb="FFF9CB9C"/>
      </patternFill>
    </fill>
    <fill>
      <patternFill patternType="solid">
        <fgColor rgb="FFCCCCCC"/>
        <bgColor rgb="FFCCCCCC"/>
      </patternFill>
    </fill>
    <fill>
      <patternFill patternType="solid">
        <fgColor rgb="FFD9D9D9"/>
        <bgColor rgb="FFD9D9D9"/>
      </patternFill>
    </fill>
    <fill>
      <patternFill patternType="solid">
        <fgColor rgb="FF3D85C6"/>
        <bgColor rgb="FF3D85C6"/>
      </patternFill>
    </fill>
    <fill>
      <patternFill patternType="solid">
        <fgColor rgb="FFCFE2F3"/>
        <bgColor rgb="FFCFE2F3"/>
      </patternFill>
    </fill>
    <fill>
      <patternFill patternType="solid">
        <fgColor rgb="FFF8FAF8"/>
        <bgColor rgb="FFF8FAF8"/>
      </patternFill>
    </fill>
    <fill>
      <patternFill patternType="solid">
        <fgColor rgb="FFE69138"/>
        <bgColor rgb="FFE69138"/>
      </patternFill>
    </fill>
    <fill>
      <patternFill patternType="solid">
        <fgColor rgb="FF674EA7"/>
        <bgColor rgb="FF674EA7"/>
      </patternFill>
    </fill>
  </fills>
  <borders count="11">
    <border/>
    <border>
      <left style="thin">
        <color rgb="FF000000"/>
      </left>
      <right style="thin">
        <color rgb="FF000000"/>
      </right>
      <top style="thin">
        <color rgb="FF000000"/>
      </top>
      <bottom style="thin">
        <color rgb="FF000000"/>
      </bottom>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bottom style="thick">
        <color rgb="FFFF0000"/>
      </bottom>
    </border>
    <border>
      <right style="thick">
        <color rgb="FFFF0000"/>
      </right>
      <bottom style="thick">
        <color rgb="FFFF0000"/>
      </bottom>
    </border>
    <border>
      <top style="thin">
        <color rgb="FF000000"/>
      </top>
    </border>
  </borders>
  <cellStyleXfs count="1">
    <xf borderId="0" fillId="0" fontId="0" numFmtId="0" applyAlignment="1" applyFont="1"/>
  </cellStyleXfs>
  <cellXfs count="132">
    <xf borderId="0" fillId="0" fontId="0" numFmtId="0" xfId="0" applyAlignment="1" applyFont="1">
      <alignment readingOrder="0" shrinkToFit="0" vertical="bottom" wrapText="1"/>
    </xf>
    <xf borderId="0" fillId="2" fontId="1" numFmtId="0" xfId="0" applyAlignment="1" applyFill="1" applyFont="1">
      <alignment readingOrder="0" shrinkToFit="0" vertical="center" wrapText="1"/>
    </xf>
    <xf borderId="0" fillId="2" fontId="2"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3" fontId="4"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borderId="0" fillId="4" fontId="5" numFmtId="0" xfId="0" applyAlignment="1" applyFill="1" applyFont="1">
      <alignment readingOrder="0" shrinkToFit="0" vertical="center" wrapText="1"/>
    </xf>
    <xf borderId="1" fillId="4" fontId="6" numFmtId="0" xfId="0" applyAlignment="1" applyBorder="1" applyFont="1">
      <alignment shrinkToFit="0" vertical="center" wrapText="1"/>
    </xf>
    <xf borderId="0" fillId="0" fontId="5" numFmtId="0" xfId="0" applyAlignment="1" applyFont="1">
      <alignment readingOrder="0" shrinkToFit="0" vertical="center" wrapText="1"/>
    </xf>
    <xf borderId="0" fillId="0" fontId="7" numFmtId="0" xfId="0" applyAlignment="1" applyFont="1">
      <alignment readingOrder="0" shrinkToFit="0" vertical="center" wrapText="0"/>
    </xf>
    <xf borderId="0" fillId="0" fontId="8" numFmtId="0" xfId="0" applyAlignment="1" applyFont="1">
      <alignment readingOrder="0" shrinkToFit="0" vertical="center" wrapText="1"/>
    </xf>
    <xf borderId="0" fillId="0" fontId="9" numFmtId="0" xfId="0" applyAlignment="1" applyFont="1">
      <alignment readingOrder="0" shrinkToFit="0" vertical="center" wrapText="0"/>
    </xf>
    <xf borderId="0" fillId="0" fontId="6" numFmtId="0" xfId="0" applyAlignment="1" applyFont="1">
      <alignment shrinkToFit="0" vertical="center" wrapText="1"/>
    </xf>
    <xf borderId="0" fillId="4" fontId="6" numFmtId="0" xfId="0" applyAlignment="1" applyFont="1">
      <alignment shrinkToFit="0" vertical="center" wrapText="1"/>
    </xf>
    <xf borderId="0" fillId="0" fontId="10" numFmtId="0" xfId="0" applyAlignment="1" applyFont="1">
      <alignment readingOrder="0" shrinkToFit="0" vertical="center" wrapText="1"/>
    </xf>
    <xf borderId="0" fillId="0" fontId="8" numFmtId="20" xfId="0" applyAlignment="1" applyFont="1" applyNumberFormat="1">
      <alignment horizontal="center" readingOrder="0" shrinkToFit="0" vertical="center" wrapText="1"/>
    </xf>
    <xf borderId="0" fillId="0" fontId="8"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0" fillId="0" fontId="8" numFmtId="0" xfId="0" applyAlignment="1" applyFont="1">
      <alignment readingOrder="0" shrinkToFit="0" vertical="center" wrapText="0"/>
    </xf>
    <xf borderId="0" fillId="0" fontId="11" numFmtId="0" xfId="0" applyAlignment="1" applyFont="1">
      <alignment readingOrder="0" shrinkToFit="0" vertical="center" wrapText="1"/>
    </xf>
    <xf borderId="0" fillId="5" fontId="8" numFmtId="0" xfId="0" applyAlignment="1" applyFill="1" applyFont="1">
      <alignment readingOrder="0" shrinkToFit="0" vertical="center" wrapText="1"/>
    </xf>
    <xf borderId="0" fillId="0" fontId="8" numFmtId="0" xfId="0" applyAlignment="1" applyFont="1">
      <alignment shrinkToFit="0" vertical="center" wrapText="1"/>
    </xf>
    <xf borderId="0" fillId="6" fontId="12" numFmtId="0" xfId="0" applyAlignment="1" applyFill="1" applyFont="1">
      <alignment shrinkToFit="0" vertical="center" wrapText="1"/>
    </xf>
    <xf borderId="0" fillId="0" fontId="8" numFmtId="0" xfId="0" applyAlignment="1" applyFont="1">
      <alignment readingOrder="0" shrinkToFit="0" vertical="center" wrapText="1"/>
    </xf>
    <xf borderId="0" fillId="0" fontId="8" numFmtId="0" xfId="0" applyAlignment="1" applyFont="1">
      <alignment readingOrder="0" shrinkToFit="0" vertical="center" wrapText="1"/>
    </xf>
    <xf borderId="0" fillId="4" fontId="2" numFmtId="0" xfId="0" applyAlignment="1" applyFont="1">
      <alignment readingOrder="0" shrinkToFit="0" vertical="center" wrapText="1"/>
    </xf>
    <xf borderId="0" fillId="4" fontId="13" numFmtId="0" xfId="0" applyAlignment="1" applyFont="1">
      <alignment readingOrder="0" shrinkToFit="0" vertical="center" wrapText="1"/>
    </xf>
    <xf borderId="1" fillId="4" fontId="13" numFmtId="0" xfId="0" applyAlignment="1" applyBorder="1" applyFont="1">
      <alignment readingOrder="0" shrinkToFit="0" vertical="center" wrapText="1"/>
    </xf>
    <xf borderId="0" fillId="0" fontId="14" numFmtId="0" xfId="0" applyAlignment="1" applyFont="1">
      <alignment readingOrder="0" shrinkToFit="0" vertical="center" wrapText="1"/>
    </xf>
    <xf borderId="0" fillId="5" fontId="8" numFmtId="0" xfId="0" applyAlignment="1" applyFont="1">
      <alignment horizontal="center" readingOrder="0" shrinkToFit="0" vertical="center" wrapText="1"/>
    </xf>
    <xf borderId="0" fillId="6" fontId="0" numFmtId="0" xfId="0" applyAlignment="1" applyFont="1">
      <alignment readingOrder="0" shrinkToFit="0" vertical="center" wrapText="1"/>
    </xf>
    <xf borderId="0" fillId="6" fontId="15" numFmtId="0" xfId="0" applyAlignment="1" applyFont="1">
      <alignment readingOrder="0" shrinkToFit="0" wrapText="1"/>
    </xf>
    <xf borderId="0" fillId="0" fontId="16" numFmtId="0" xfId="0" applyAlignment="1" applyFont="1">
      <alignment readingOrder="0" shrinkToFit="0" vertical="center" wrapText="1"/>
    </xf>
    <xf borderId="0" fillId="0" fontId="15" numFmtId="0" xfId="0" applyAlignment="1" applyFont="1">
      <alignment horizontal="left" readingOrder="0" shrinkToFit="0" vertical="center" wrapText="1"/>
    </xf>
    <xf borderId="0" fillId="6" fontId="0" numFmtId="0" xfId="0" applyAlignment="1" applyFont="1">
      <alignment readingOrder="0" shrinkToFit="0" vertical="center" wrapText="1"/>
    </xf>
    <xf borderId="0" fillId="6" fontId="15" numFmtId="0" xfId="0" applyAlignment="1" applyFont="1">
      <alignment horizontal="left" readingOrder="0" shrinkToFit="0" vertical="center" wrapText="1"/>
    </xf>
    <xf borderId="0" fillId="0" fontId="17" numFmtId="0" xfId="0" applyAlignment="1" applyFont="1">
      <alignment readingOrder="0" shrinkToFit="0" vertical="center" wrapText="1"/>
    </xf>
    <xf borderId="0" fillId="0" fontId="8" numFmtId="0" xfId="0" applyAlignment="1" applyFont="1">
      <alignment readingOrder="0" shrinkToFit="0" vertical="center" wrapText="1"/>
    </xf>
    <xf borderId="0" fillId="0" fontId="18" numFmtId="0" xfId="0" applyAlignment="1" applyFont="1">
      <alignment readingOrder="0" shrinkToFit="0" vertical="center" wrapText="1"/>
    </xf>
    <xf borderId="0" fillId="6" fontId="19" numFmtId="0" xfId="0" applyAlignment="1" applyFont="1">
      <alignment readingOrder="0" shrinkToFit="0" vertical="center" wrapText="1"/>
    </xf>
    <xf borderId="0" fillId="0" fontId="8" numFmtId="0" xfId="0" applyAlignment="1" applyFont="1">
      <alignment readingOrder="0" shrinkToFit="0" vertical="center" wrapText="1"/>
    </xf>
    <xf quotePrefix="1" borderId="0" fillId="0" fontId="8" numFmtId="0" xfId="0" applyAlignment="1" applyFont="1">
      <alignment readingOrder="0" shrinkToFit="0" vertical="center" wrapText="1"/>
    </xf>
    <xf borderId="0" fillId="0" fontId="15" numFmtId="0" xfId="0" applyAlignment="1" applyFont="1">
      <alignment readingOrder="0" shrinkToFit="0" vertical="center" wrapText="0"/>
    </xf>
    <xf borderId="0" fillId="0" fontId="0" numFmtId="0" xfId="0" applyAlignment="1" applyFont="1">
      <alignment readingOrder="0" shrinkToFit="0" vertical="center" wrapText="1"/>
    </xf>
    <xf borderId="1" fillId="4" fontId="2" numFmtId="0" xfId="0" applyAlignment="1" applyBorder="1" applyFont="1">
      <alignment readingOrder="0" shrinkToFit="0" vertical="center" wrapText="1"/>
    </xf>
    <xf borderId="0" fillId="0" fontId="8" numFmtId="0" xfId="0" applyAlignment="1" applyFont="1">
      <alignment horizontal="center" readingOrder="0" shrinkToFit="0" vertical="center" wrapText="1"/>
    </xf>
    <xf borderId="0" fillId="0" fontId="20" numFmtId="0" xfId="0" applyAlignment="1" applyFont="1">
      <alignment readingOrder="0" shrinkToFit="0" vertical="center" wrapText="0"/>
    </xf>
    <xf borderId="0" fillId="0" fontId="9" numFmtId="0" xfId="0" applyAlignment="1" applyFont="1">
      <alignment readingOrder="0" shrinkToFit="0" vertical="center" wrapText="0"/>
    </xf>
    <xf borderId="0" fillId="0" fontId="21" numFmtId="0" xfId="0" applyAlignment="1" applyFont="1">
      <alignment readingOrder="0" shrinkToFit="0" vertical="center" wrapText="1"/>
    </xf>
    <xf borderId="0" fillId="0" fontId="22" numFmtId="0" xfId="0" applyAlignment="1" applyFont="1">
      <alignment readingOrder="0" shrinkToFit="0" vertical="center" wrapText="0"/>
    </xf>
    <xf borderId="0" fillId="0" fontId="21" numFmtId="0" xfId="0" applyAlignment="1" applyFont="1">
      <alignment readingOrder="0" shrinkToFit="0" vertical="center" wrapText="1"/>
    </xf>
    <xf borderId="0" fillId="0" fontId="3" numFmtId="0" xfId="0" applyAlignment="1" applyFont="1">
      <alignment horizontal="center" shrinkToFit="0" vertical="center" wrapText="1"/>
    </xf>
    <xf borderId="0" fillId="6" fontId="12" numFmtId="0" xfId="0" applyAlignment="1" applyFont="1">
      <alignment shrinkToFit="0" wrapText="1"/>
    </xf>
    <xf borderId="0" fillId="0" fontId="8" numFmtId="0" xfId="0" applyAlignment="1" applyFont="1">
      <alignment horizontal="right" readingOrder="0" shrinkToFit="0" vertical="center" wrapText="1"/>
    </xf>
    <xf borderId="0" fillId="0" fontId="8" numFmtId="0" xfId="0" applyAlignment="1" applyFont="1">
      <alignment readingOrder="0" shrinkToFit="0" wrapText="1"/>
    </xf>
    <xf borderId="0" fillId="0" fontId="8" numFmtId="0" xfId="0" applyAlignment="1" applyFont="1">
      <alignment horizontal="left" readingOrder="0" shrinkToFit="0" vertical="center" wrapText="1"/>
    </xf>
    <xf borderId="0" fillId="0" fontId="8" numFmtId="0" xfId="0" applyAlignment="1" applyFont="1">
      <alignment horizontal="left" shrinkToFit="0" vertical="center" wrapText="1"/>
    </xf>
    <xf borderId="0" fillId="0" fontId="23" numFmtId="0" xfId="0" applyAlignment="1" applyFont="1">
      <alignment horizontal="left" readingOrder="0" shrinkToFit="0" vertical="center" wrapText="1"/>
    </xf>
    <xf borderId="0" fillId="0" fontId="24" numFmtId="0" xfId="0" applyAlignment="1" applyFont="1">
      <alignment readingOrder="0" shrinkToFit="0" wrapText="1"/>
    </xf>
    <xf borderId="0" fillId="0" fontId="9" numFmtId="0" xfId="0" applyAlignment="1" applyFont="1">
      <alignment readingOrder="0" shrinkToFit="0" wrapText="1"/>
    </xf>
    <xf borderId="0" fillId="0" fontId="8" numFmtId="0" xfId="0" applyAlignment="1" applyFont="1">
      <alignment horizontal="right" readingOrder="0" shrinkToFit="0" vertical="center" wrapText="1"/>
    </xf>
    <xf borderId="0" fillId="0" fontId="25" numFmtId="0" xfId="0" applyAlignment="1" applyFont="1">
      <alignment readingOrder="0" shrinkToFit="0" wrapText="1"/>
    </xf>
    <xf borderId="0" fillId="7" fontId="8" numFmtId="0" xfId="0" applyAlignment="1" applyFill="1" applyFont="1">
      <alignment shrinkToFit="0" vertical="center" wrapText="1"/>
    </xf>
    <xf borderId="0" fillId="7" fontId="15" numFmtId="0" xfId="0" applyAlignment="1" applyFont="1">
      <alignment horizontal="center" readingOrder="0" shrinkToFit="0" vertical="center" wrapText="1"/>
    </xf>
    <xf borderId="0" fillId="7" fontId="8" numFmtId="0" xfId="0" applyAlignment="1" applyFont="1">
      <alignment horizontal="center" shrinkToFit="0" vertical="center" wrapText="1"/>
    </xf>
    <xf quotePrefix="1" borderId="0" fillId="7" fontId="15" numFmtId="0" xfId="0" applyAlignment="1" applyFont="1">
      <alignment horizontal="center" readingOrder="0" shrinkToFit="0" vertical="center" wrapText="1"/>
    </xf>
    <xf borderId="0" fillId="7" fontId="8" numFmtId="0" xfId="0" applyAlignment="1" applyFont="1">
      <alignment readingOrder="0" shrinkToFit="0" vertical="center" wrapText="1"/>
    </xf>
    <xf borderId="0" fillId="0" fontId="8" numFmtId="0" xfId="0" applyAlignment="1" applyFont="1">
      <alignment horizontal="center" shrinkToFit="0" vertical="center" wrapText="1"/>
    </xf>
    <xf borderId="0" fillId="3" fontId="8" numFmtId="0" xfId="0" applyAlignment="1" applyFont="1">
      <alignment horizontal="center" shrinkToFit="0" vertical="center" wrapText="1"/>
    </xf>
    <xf borderId="0" fillId="0" fontId="8" numFmtId="0" xfId="0" applyAlignment="1" applyFont="1">
      <alignment readingOrder="0" shrinkToFit="0" vertical="center" wrapText="1"/>
    </xf>
    <xf borderId="0" fillId="0" fontId="8" numFmtId="164" xfId="0" applyAlignment="1" applyFont="1" applyNumberFormat="1">
      <alignment horizontal="center" readingOrder="0" shrinkToFit="0" vertical="center" wrapText="1"/>
    </xf>
    <xf borderId="0" fillId="0" fontId="8" numFmtId="0" xfId="0" applyAlignment="1" applyFont="1">
      <alignment readingOrder="0" shrinkToFit="0" wrapText="0"/>
    </xf>
    <xf borderId="0" fillId="6" fontId="15" numFmtId="0" xfId="0" applyAlignment="1" applyFont="1">
      <alignment horizontal="left" readingOrder="0" shrinkToFit="0" wrapText="1"/>
    </xf>
    <xf borderId="0" fillId="0" fontId="26" numFmtId="0" xfId="0" applyAlignment="1" applyFont="1">
      <alignment readingOrder="0" shrinkToFit="0" wrapText="1"/>
    </xf>
    <xf borderId="0" fillId="0" fontId="8" numFmtId="0" xfId="0" applyAlignment="1" applyFont="1">
      <alignment readingOrder="0" shrinkToFit="0" vertical="top" wrapText="1"/>
    </xf>
    <xf borderId="0" fillId="0" fontId="15" numFmtId="0" xfId="0" applyAlignment="1" applyFont="1">
      <alignment horizontal="left" readingOrder="0" shrinkToFit="0" wrapText="1"/>
    </xf>
    <xf borderId="0" fillId="0" fontId="27" numFmtId="0" xfId="0" applyAlignment="1" applyFont="1">
      <alignment readingOrder="0" shrinkToFit="0" wrapText="1"/>
    </xf>
    <xf borderId="0" fillId="0" fontId="28" numFmtId="0" xfId="0" applyAlignment="1" applyFont="1">
      <alignment readingOrder="0" shrinkToFit="0" wrapText="1"/>
    </xf>
    <xf borderId="0" fillId="6" fontId="15" numFmtId="0" xfId="0" applyAlignment="1" applyFont="1">
      <alignment horizontal="left" readingOrder="0" shrinkToFit="0" wrapText="1"/>
    </xf>
    <xf borderId="0" fillId="0" fontId="29" numFmtId="0" xfId="0" applyAlignment="1" applyFont="1">
      <alignment readingOrder="0" shrinkToFit="0" wrapText="0"/>
    </xf>
    <xf borderId="0" fillId="0" fontId="8" numFmtId="21" xfId="0" applyAlignment="1" applyFont="1" applyNumberFormat="1">
      <alignment horizontal="center" readingOrder="0" shrinkToFit="0" vertical="center" wrapText="1"/>
    </xf>
    <xf borderId="0" fillId="8" fontId="8" numFmtId="0" xfId="0" applyAlignment="1" applyFill="1" applyFont="1">
      <alignment shrinkToFit="0" vertical="center" wrapText="1"/>
    </xf>
    <xf borderId="0" fillId="8" fontId="8" numFmtId="0" xfId="0" applyAlignment="1" applyFont="1">
      <alignment horizontal="center" shrinkToFit="0" vertical="center" wrapText="1"/>
    </xf>
    <xf borderId="0" fillId="8" fontId="8" numFmtId="0" xfId="0" applyAlignment="1" applyFont="1">
      <alignment readingOrder="0" shrinkToFit="0" vertical="center" wrapText="1"/>
    </xf>
    <xf borderId="0" fillId="0" fontId="30" numFmtId="0" xfId="0" applyAlignment="1" applyFont="1">
      <alignment horizontal="center" shrinkToFit="0" vertical="center" wrapText="1"/>
    </xf>
    <xf borderId="0" fillId="0" fontId="30" numFmtId="0" xfId="0" applyAlignment="1" applyFont="1">
      <alignment horizontal="center" readingOrder="0" shrinkToFit="0" vertical="center" wrapText="1"/>
    </xf>
    <xf borderId="2" fillId="5" fontId="30" numFmtId="0" xfId="0" applyAlignment="1" applyBorder="1" applyFont="1">
      <alignment horizontal="center" readingOrder="0" shrinkToFit="0" vertical="center" wrapText="1"/>
    </xf>
    <xf borderId="3" fillId="0" fontId="8" numFmtId="0" xfId="0" applyAlignment="1" applyBorder="1" applyFont="1">
      <alignment shrinkToFit="0" wrapText="1"/>
    </xf>
    <xf borderId="4" fillId="0" fontId="8" numFmtId="0" xfId="0" applyAlignment="1" applyBorder="1" applyFont="1">
      <alignment shrinkToFit="0" wrapText="1"/>
    </xf>
    <xf borderId="5" fillId="0" fontId="8" numFmtId="0" xfId="0" applyAlignment="1" applyBorder="1" applyFont="1">
      <alignment shrinkToFit="0" wrapText="1"/>
    </xf>
    <xf borderId="6" fillId="0" fontId="8" numFmtId="0" xfId="0" applyAlignment="1" applyBorder="1" applyFont="1">
      <alignment shrinkToFit="0" wrapText="1"/>
    </xf>
    <xf borderId="0" fillId="9" fontId="30" numFmtId="0" xfId="0" applyAlignment="1" applyFill="1" applyFont="1">
      <alignment horizontal="center" readingOrder="0" shrinkToFit="0" vertical="center" wrapText="1"/>
    </xf>
    <xf borderId="7" fillId="0" fontId="8" numFmtId="0" xfId="0" applyAlignment="1" applyBorder="1" applyFont="1">
      <alignment shrinkToFit="0" wrapText="1"/>
    </xf>
    <xf borderId="8" fillId="0" fontId="8" numFmtId="0" xfId="0" applyAlignment="1" applyBorder="1" applyFont="1">
      <alignment shrinkToFit="0" wrapText="1"/>
    </xf>
    <xf borderId="9" fillId="0" fontId="8" numFmtId="0" xfId="0" applyAlignment="1" applyBorder="1" applyFont="1">
      <alignment shrinkToFit="0" wrapText="1"/>
    </xf>
    <xf borderId="0" fillId="10" fontId="31" numFmtId="0" xfId="0" applyAlignment="1" applyFill="1" applyFont="1">
      <alignment horizontal="center" readingOrder="0" shrinkToFit="0" vertical="center" wrapText="1"/>
    </xf>
    <xf borderId="0" fillId="11" fontId="32" numFmtId="0" xfId="0" applyAlignment="1" applyFill="1" applyFont="1">
      <alignment horizontal="center" readingOrder="0" shrinkToFit="0" vertical="center" wrapText="1"/>
    </xf>
    <xf borderId="0" fillId="12" fontId="33" numFmtId="0" xfId="0" applyAlignment="1" applyFill="1" applyFont="1">
      <alignment horizontal="center" readingOrder="0" shrinkToFit="0" vertical="center" wrapText="1"/>
    </xf>
    <xf borderId="0" fillId="13" fontId="34" numFmtId="0" xfId="0" applyAlignment="1" applyFill="1" applyFont="1">
      <alignment horizontal="center" readingOrder="0" shrinkToFit="0" vertical="center" wrapText="1"/>
    </xf>
    <xf borderId="0" fillId="5" fontId="33" numFmtId="0" xfId="0" applyAlignment="1" applyFont="1">
      <alignment horizontal="center" readingOrder="0" shrinkToFit="0" vertical="center" wrapText="1"/>
    </xf>
    <xf borderId="0" fillId="0" fontId="30" numFmtId="0" xfId="0" applyAlignment="1" applyFont="1">
      <alignment horizontal="left" readingOrder="0" shrinkToFit="0" vertical="center" wrapText="0"/>
    </xf>
    <xf borderId="0" fillId="0" fontId="30" numFmtId="0" xfId="0" applyAlignment="1" applyFont="1">
      <alignment shrinkToFit="0" vertical="center" wrapText="1"/>
    </xf>
    <xf borderId="0" fillId="5" fontId="35" numFmtId="0" xfId="0" applyAlignment="1" applyFont="1">
      <alignment horizontal="center" readingOrder="0" shrinkToFit="0" vertical="center" wrapText="1"/>
    </xf>
    <xf borderId="0" fillId="14" fontId="30" numFmtId="0" xfId="0" applyAlignment="1" applyFill="1" applyFont="1">
      <alignment horizontal="center" readingOrder="0" shrinkToFit="0" vertical="center" wrapText="1"/>
    </xf>
    <xf borderId="0" fillId="15" fontId="30" numFmtId="0" xfId="0" applyAlignment="1" applyFill="1" applyFont="1">
      <alignment horizontal="center" shrinkToFit="0" vertical="center" wrapText="1"/>
    </xf>
    <xf borderId="0" fillId="15" fontId="30" numFmtId="0" xfId="0" applyAlignment="1" applyFont="1">
      <alignment horizontal="center" readingOrder="0" shrinkToFit="0" vertical="center" wrapText="1"/>
    </xf>
    <xf borderId="0" fillId="15" fontId="36" numFmtId="0" xfId="0" applyAlignment="1" applyFont="1">
      <alignment horizontal="left" readingOrder="0" shrinkToFit="0" vertical="center" wrapText="0"/>
    </xf>
    <xf borderId="0" fillId="15" fontId="37" numFmtId="0" xfId="0" applyAlignment="1" applyFont="1">
      <alignment horizontal="left" readingOrder="0" shrinkToFit="0" vertical="center" wrapText="0"/>
    </xf>
    <xf borderId="0" fillId="0" fontId="38" numFmtId="0" xfId="0" applyAlignment="1" applyFont="1">
      <alignment horizontal="right" readingOrder="0" shrinkToFit="0" vertical="center" wrapText="1"/>
    </xf>
    <xf borderId="0" fillId="16" fontId="39" numFmtId="0" xfId="0" applyAlignment="1" applyFill="1" applyFont="1">
      <alignment horizontal="center" readingOrder="0" shrinkToFit="0" vertical="center" wrapText="1"/>
    </xf>
    <xf borderId="0" fillId="15" fontId="6" numFmtId="0" xfId="0" applyAlignment="1" applyFont="1">
      <alignment shrinkToFit="0" vertical="bottom" wrapText="1"/>
    </xf>
    <xf borderId="0" fillId="15" fontId="40" numFmtId="0" xfId="0" applyAlignment="1" applyFont="1">
      <alignment horizontal="center" shrinkToFit="0" vertical="center" wrapText="1"/>
    </xf>
    <xf borderId="0" fillId="15" fontId="6" numFmtId="0" xfId="0" applyAlignment="1" applyFont="1">
      <alignment shrinkToFit="0" vertical="center" wrapText="1"/>
    </xf>
    <xf borderId="0" fillId="17" fontId="41" numFmtId="0" xfId="0" applyAlignment="1" applyFill="1" applyFont="1">
      <alignment horizontal="left" readingOrder="0" shrinkToFit="0" vertical="center" wrapText="1"/>
    </xf>
    <xf borderId="0" fillId="6" fontId="41" numFmtId="0" xfId="0" applyAlignment="1" applyFont="1">
      <alignment readingOrder="0" shrinkToFit="0" vertical="center" wrapText="1"/>
    </xf>
    <xf borderId="0" fillId="6" fontId="41" numFmtId="0" xfId="0" applyAlignment="1" applyFont="1">
      <alignment horizontal="left" readingOrder="0" shrinkToFit="0" vertical="center" wrapText="1"/>
    </xf>
    <xf borderId="0" fillId="13" fontId="41" numFmtId="0" xfId="0" applyAlignment="1" applyFont="1">
      <alignment shrinkToFit="0" vertical="top" wrapText="1"/>
    </xf>
    <xf borderId="0" fillId="13" fontId="41" numFmtId="0" xfId="0" applyAlignment="1" applyFont="1">
      <alignment shrinkToFit="0" vertical="top" wrapText="1"/>
    </xf>
    <xf borderId="0" fillId="13" fontId="41" numFmtId="0" xfId="0" applyAlignment="1" applyFont="1">
      <alignment shrinkToFit="0" vertical="center" wrapText="1"/>
    </xf>
    <xf borderId="0" fillId="13" fontId="41" numFmtId="0" xfId="0" applyAlignment="1" applyFont="1">
      <alignment shrinkToFit="0" vertical="center" wrapText="1"/>
    </xf>
    <xf borderId="10" fillId="18" fontId="34" numFmtId="0" xfId="0" applyAlignment="1" applyBorder="1" applyFill="1" applyFont="1">
      <alignment horizontal="center" shrinkToFit="0" wrapText="1"/>
    </xf>
    <xf borderId="10" fillId="0" fontId="8" numFmtId="0" xfId="0" applyAlignment="1" applyBorder="1" applyFont="1">
      <alignment shrinkToFit="0" wrapText="1"/>
    </xf>
    <xf borderId="0" fillId="19" fontId="42" numFmtId="0" xfId="0" applyAlignment="1" applyFill="1" applyFont="1">
      <alignment horizontal="center" readingOrder="0" shrinkToFit="0" vertical="center" wrapText="1"/>
    </xf>
    <xf borderId="0" fillId="15" fontId="34" numFmtId="0" xfId="0" applyAlignment="1" applyFont="1">
      <alignment horizontal="center" shrinkToFit="0" wrapText="1"/>
    </xf>
    <xf borderId="0" fillId="15" fontId="43" numFmtId="0" xfId="0" applyAlignment="1" applyFont="1">
      <alignment horizontal="center" readingOrder="0" shrinkToFit="0" vertical="center" wrapText="1"/>
    </xf>
    <xf borderId="0" fillId="15" fontId="34" numFmtId="0" xfId="0" applyAlignment="1" applyFont="1">
      <alignment shrinkToFit="0" wrapText="1"/>
    </xf>
    <xf borderId="0" fillId="6" fontId="34" numFmtId="0" xfId="0" applyAlignment="1" applyFont="1">
      <alignment readingOrder="0" shrinkToFit="0" vertical="top" wrapText="1"/>
    </xf>
    <xf borderId="0" fillId="13" fontId="44" numFmtId="0" xfId="0" applyAlignment="1" applyFont="1">
      <alignment readingOrder="0" shrinkToFit="0" vertical="top" wrapText="1"/>
    </xf>
    <xf borderId="0" fillId="13" fontId="34" numFmtId="0" xfId="0" applyAlignment="1" applyFont="1">
      <alignment readingOrder="0" shrinkToFit="0" vertical="top" wrapText="1"/>
    </xf>
    <xf borderId="0" fillId="13" fontId="34" numFmtId="0" xfId="0" applyAlignment="1" applyFont="1">
      <alignment readingOrder="0" shrinkToFit="0" vertical="center" wrapText="1"/>
    </xf>
    <xf borderId="0" fillId="20" fontId="42"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doyfkURxkCrqoXk7uyt2Hj9ltx-rEYYHsEL0lcNJusY/edit?tab=t.0" TargetMode="External"/><Relationship Id="rId42" Type="http://schemas.openxmlformats.org/officeDocument/2006/relationships/hyperlink" Target="https://maps.app.goo.gl/R9LQVoPG25XcEyae9" TargetMode="External"/><Relationship Id="rId41" Type="http://schemas.openxmlformats.org/officeDocument/2006/relationships/hyperlink" Target="https://g0v.hackmd.io/@chihao/ukraine/https%3A%2F%2Fg0v.hackmd.io%2F07LyEBBiSYmV-Lplmqg0bg%3Fview" TargetMode="External"/><Relationship Id="rId44" Type="http://schemas.openxmlformats.org/officeDocument/2006/relationships/hyperlink" Target="https://www.menti.com/alpe4zzw5uf3" TargetMode="External"/><Relationship Id="rId43" Type="http://schemas.openxmlformats.org/officeDocument/2006/relationships/hyperlink" Target="https://docs.google.com/presentation/d/1GRT_R_xcsa2OqWc11E75cgZH3O-pQEsG97EcSjnmgPw/edit?usp=sharing" TargetMode="External"/><Relationship Id="rId46" Type="http://schemas.openxmlformats.org/officeDocument/2006/relationships/hyperlink" Target="https://docs.google.com/presentation/d/1TG1h8FLrp4QToNOFUhjI7SY-bERv9eLuw3F0GInm-lQ/edit" TargetMode="External"/><Relationship Id="rId45" Type="http://schemas.openxmlformats.org/officeDocument/2006/relationships/hyperlink" Target="https://docs.google.com/presentation/d/1wDHdZWwurH64_6bfUV1cTQTI5vrWs_njVr5xyqbnk18/edit?usp=sharing" TargetMode="External"/><Relationship Id="rId1" Type="http://schemas.openxmlformats.org/officeDocument/2006/relationships/hyperlink" Target="https://docs.google.com/presentation/d/1JBKqHgPHKhXoB3UIyO4C-SCbrrH6YVDjb4KzT_7r7bc/edit?usp=sharing" TargetMode="External"/><Relationship Id="rId2" Type="http://schemas.openxmlformats.org/officeDocument/2006/relationships/hyperlink" Target="https://docs.google.com/presentation/d/1TetOIDhmsF-TqFgcDLkToOl6sOdZHkG09aAubZg5bMc/edit" TargetMode="External"/><Relationship Id="rId3" Type="http://schemas.openxmlformats.org/officeDocument/2006/relationships/hyperlink" Target="https://forms.gle/xSV4d6ZyQAHNNnSz9" TargetMode="External"/><Relationship Id="rId4" Type="http://schemas.openxmlformats.org/officeDocument/2006/relationships/hyperlink" Target="https://g0v.hackmd.io/Xwd0lRj1RQidzBZdmn3MvA?both" TargetMode="External"/><Relationship Id="rId9" Type="http://schemas.openxmlformats.org/officeDocument/2006/relationships/hyperlink" Target="https://youtu.be/iyW-9RH0PI8" TargetMode="External"/><Relationship Id="rId48" Type="http://schemas.openxmlformats.org/officeDocument/2006/relationships/hyperlink" Target="https://www.canva.com/design/DAGfzEbPqKY/tdT6TvwgnB4xC_YoPaLIhA/view?utm_content=DAGfzEbPqKY&amp;utm_campaign=designshare&amp;utm_medium=link2&amp;utm_source=uniquelinks&amp;utlId=h1faef6fdbe" TargetMode="External"/><Relationship Id="rId47" Type="http://schemas.openxmlformats.org/officeDocument/2006/relationships/hyperlink" Target="https://docs.google.com/presentation/d/1ZNWRijFSKdRUBUFVlm4_4NkuRRHg-z9MG-ewMqWSZlU/edit?usp=sharing" TargetMode="External"/><Relationship Id="rId49" Type="http://schemas.openxmlformats.org/officeDocument/2006/relationships/hyperlink" Target="https://g0v-tw.slack.com/archives/C02G2SXKX/p1740215069461269" TargetMode="External"/><Relationship Id="rId5" Type="http://schemas.openxmlformats.org/officeDocument/2006/relationships/hyperlink" Target="https://docs.google.com/presentation/d/1NrkmP9zO8BM882h3V69QeMUogWcJJrf3KR5hn7-fdKQ/edit?usp=sharing" TargetMode="External"/><Relationship Id="rId6" Type="http://schemas.openxmlformats.org/officeDocument/2006/relationships/hyperlink" Target="https://g0v.hackmd.io/@Pno233SAS8G5UfL5OvSRmA/HJsIEVXc1x" TargetMode="External"/><Relationship Id="rId7" Type="http://schemas.openxmlformats.org/officeDocument/2006/relationships/hyperlink" Target="https://docs.google.com/presentation/d/1sF_sU3uG23S9pVo6ihZ7Fi5qccjUkhQ9u_-GebCPEWo/edit?usp=sharing" TargetMode="External"/><Relationship Id="rId8" Type="http://schemas.openxmlformats.org/officeDocument/2006/relationships/hyperlink" Target="https://hackmd.io/DQ8aX1rDT6K3XUOeGgJ-Dg" TargetMode="External"/><Relationship Id="rId31" Type="http://schemas.openxmlformats.org/officeDocument/2006/relationships/hyperlink" Target="https://docs.google.com/presentation/d/1F4T8h3uSSJFRELaJ2sT6PReqeDpdBGqU/edit?usp=sharing&amp;ouid=112543524398015585597&amp;rtpof=true&amp;sd=true" TargetMode="External"/><Relationship Id="rId30" Type="http://schemas.openxmlformats.org/officeDocument/2006/relationships/hyperlink" Target="https://docs.google.com/presentation/d/1U5NP92YJeTzOgRjDmPJ45xbiqwcqYsbU/edit?usp=drivesdk&amp;ouid=115613229829145960960&amp;rtpof=true&amp;sd=true" TargetMode="External"/><Relationship Id="rId33" Type="http://schemas.openxmlformats.org/officeDocument/2006/relationships/hyperlink" Target="https://hackmd.io/@linux-odyssey/g0v-20250202" TargetMode="External"/><Relationship Id="rId32" Type="http://schemas.openxmlformats.org/officeDocument/2006/relationships/hyperlink" Target="https://docs.google.com/presentation/d/1fRoRC5mRMqUldpCE3hL9kKv4SIkjK6iIIE4msQhxGws/edit?usp=sharing" TargetMode="External"/><Relationship Id="rId35" Type="http://schemas.openxmlformats.org/officeDocument/2006/relationships/hyperlink" Target="https://drive.google.com/file/d/1ff94ncpP_xl3i7YvMxIbLZ84Ad3C1ZQJ/view?usp=drivesdk" TargetMode="External"/><Relationship Id="rId34" Type="http://schemas.openxmlformats.org/officeDocument/2006/relationships/hyperlink" Target="https://hackmd.io/@linux-odyssey/project-intro" TargetMode="External"/><Relationship Id="rId37" Type="http://schemas.openxmlformats.org/officeDocument/2006/relationships/hyperlink" Target="https://g0v.hackmd.io/@jothon/budget/https%3A%2F%2Fg0v.hackmd.io%2F01j1yrIeQ_eEWQhvFI8Gyw%3Fview" TargetMode="External"/><Relationship Id="rId36" Type="http://schemas.openxmlformats.org/officeDocument/2006/relationships/hyperlink" Target="https://facebook.com/manting" TargetMode="External"/><Relationship Id="rId39" Type="http://schemas.openxmlformats.org/officeDocument/2006/relationships/hyperlink" Target="https://en.wikipedia.org/wiki/February_28_incident" TargetMode="External"/><Relationship Id="rId38" Type="http://schemas.openxmlformats.org/officeDocument/2006/relationships/hyperlink" Target="https://docs.google.com/presentation/d/1TetOIDhmsF-TqFgcDLkToOl6sOdZHkG09aAubZg5bMc/edit" TargetMode="External"/><Relationship Id="rId62" Type="http://schemas.openxmlformats.org/officeDocument/2006/relationships/hyperlink" Target="http://commonvoice.mozilla.org/nan-tw/listen" TargetMode="External"/><Relationship Id="rId61" Type="http://schemas.openxmlformats.org/officeDocument/2006/relationships/hyperlink" Target="https://bit.ly/0123g0vsurvey" TargetMode="External"/><Relationship Id="rId20" Type="http://schemas.openxmlformats.org/officeDocument/2006/relationships/hyperlink" Target="https://ooni-research.ocf.tw/docs/" TargetMode="External"/><Relationship Id="rId64" Type="http://schemas.openxmlformats.org/officeDocument/2006/relationships/drawing" Target="../drawings/drawing1.xml"/><Relationship Id="rId63" Type="http://schemas.openxmlformats.org/officeDocument/2006/relationships/hyperlink" Target="https://medium.com/mozilla-related/common-voice-eight-formosan-languages-65b79fbd2c38" TargetMode="External"/><Relationship Id="rId22" Type="http://schemas.openxmlformats.org/officeDocument/2006/relationships/hyperlink" Target="https://docs.google.com/presentation/d/1wyEjfsCNnevvb0ps0RELY0xCkpan_NEqCoT1B14bf3A/edit?usp=sharing" TargetMode="External"/><Relationship Id="rId21" Type="http://schemas.openxmlformats.org/officeDocument/2006/relationships/hyperlink" Target="https://docs.google.com/presentation/d/1vonxH016BKVcEgSqZk4PvUVhwscXf1Jz75h24HWDOjc/edit?usp=sharing" TargetMode="External"/><Relationship Id="rId24" Type="http://schemas.openxmlformats.org/officeDocument/2006/relationships/hyperlink" Target="https://hackmd.io/7qKSM1pRSTGzjxJaZ9q3cA?view" TargetMode="External"/><Relationship Id="rId23" Type="http://schemas.openxmlformats.org/officeDocument/2006/relationships/hyperlink" Target="https://groundi.io/" TargetMode="External"/><Relationship Id="rId60" Type="http://schemas.openxmlformats.org/officeDocument/2006/relationships/hyperlink" Target="https://g0v.hackmd.io/biVc1IjZQXull4mWrqhlKA" TargetMode="External"/><Relationship Id="rId26" Type="http://schemas.openxmlformats.org/officeDocument/2006/relationships/hyperlink" Target="https://www.youtube.com/watch?v=Li4KNe6M2-4" TargetMode="External"/><Relationship Id="rId25" Type="http://schemas.openxmlformats.org/officeDocument/2006/relationships/hyperlink" Target="https://pitch.com/v/return-inn-g0v-s7hr69" TargetMode="External"/><Relationship Id="rId28" Type="http://schemas.openxmlformats.org/officeDocument/2006/relationships/hyperlink" Target="https://reurl.cc/eGK0xQ" TargetMode="External"/><Relationship Id="rId27" Type="http://schemas.openxmlformats.org/officeDocument/2006/relationships/hyperlink" Target="https://g0v.hackmd.io/KehdQl1sTwyl28AnpPmvvQ?view" TargetMode="External"/><Relationship Id="rId29" Type="http://schemas.openxmlformats.org/officeDocument/2006/relationships/hyperlink" Target="https://docs.google.com/document/d/1doyfkURxkCrqoXk7uyt2Hj9ltx-rEYYHsEL0lcNJusY/edit?tab=t.0" TargetMode="External"/><Relationship Id="rId51" Type="http://schemas.openxmlformats.org/officeDocument/2006/relationships/hyperlink" Target="https://g0v.hackmd.io/@Pno233SAS8G5UfL5OvSRmA/HJsIEVXc1x" TargetMode="External"/><Relationship Id="rId50" Type="http://schemas.openxmlformats.org/officeDocument/2006/relationships/hyperlink" Target="https://signal.me/" TargetMode="External"/><Relationship Id="rId53" Type="http://schemas.openxmlformats.org/officeDocument/2006/relationships/hyperlink" Target="https://hackmd.io/@linux-odyssey/g0v-20250202" TargetMode="External"/><Relationship Id="rId52" Type="http://schemas.openxmlformats.org/officeDocument/2006/relationships/hyperlink" Target="https://docs.google.com/presentation/d/1sF_sU3uG23S9pVo6ihZ7Fi5qccjUkhQ9u_-GebCPEWo/edit?usp=sharing" TargetMode="External"/><Relationship Id="rId11" Type="http://schemas.openxmlformats.org/officeDocument/2006/relationships/hyperlink" Target="https://github.com/irvin/digital-service-resilience" TargetMode="External"/><Relationship Id="rId55" Type="http://schemas.openxmlformats.org/officeDocument/2006/relationships/hyperlink" Target="https://docs.google.com/presentation/d/1TetOIDhmsF-TqFgcDLkToOl6sOdZHkG09aAubZg5bMc/edit" TargetMode="External"/><Relationship Id="rId10" Type="http://schemas.openxmlformats.org/officeDocument/2006/relationships/hyperlink" Target="https://g0v.hackmd.io/@irvin/digital-services-resilience/edit" TargetMode="External"/><Relationship Id="rId54" Type="http://schemas.openxmlformats.org/officeDocument/2006/relationships/hyperlink" Target="https://g0v.hackmd.io/@jothon/budget/https%3A%2F%2Fg0v.hackmd.io%2F01j1yrIeQ_eEWQhvFI8Gyw%3Fview" TargetMode="External"/><Relationship Id="rId13" Type="http://schemas.openxmlformats.org/officeDocument/2006/relationships/hyperlink" Target="https://docs.google.com/presentation/d/1Fg0GFbbbeJgs6IGzMroi_eEkZUNoyWuam9ZmpVSERH0/edit?usp=sharing" TargetMode="External"/><Relationship Id="rId57" Type="http://schemas.openxmlformats.org/officeDocument/2006/relationships/hyperlink" Target="https://docs.google.com/spreadsheets/d/1V2A7alI26xWKVH3VE2uwap7M2lMR3EfVTEXmND1MDSE/edit?gid=0" TargetMode="External"/><Relationship Id="rId12" Type="http://schemas.openxmlformats.org/officeDocument/2006/relationships/hyperlink" Target="https://g0v.hackmd.io/@jothon/ctpbook_en" TargetMode="External"/><Relationship Id="rId56" Type="http://schemas.openxmlformats.org/officeDocument/2006/relationships/hyperlink" Target="https://docs.google.com/document/d/1z7P43rCTNL_KDOSOn824dLUWjOejeYouj-m_vQ9AX5k/edit?usp=sharing" TargetMode="External"/><Relationship Id="rId15" Type="http://schemas.openxmlformats.org/officeDocument/2006/relationships/hyperlink" Target="https://docs.google.com/presentation/d/1Ib8A4pX1gWYYnAh-8QkEmz2FdL5nVFvp/edit?usp=sharing&amp;ouid=108684613353986701205&amp;rtpof=true&amp;sd=true" TargetMode="External"/><Relationship Id="rId59" Type="http://schemas.openxmlformats.org/officeDocument/2006/relationships/hyperlink" Target="https://g0v.hackmd.io/@chewei/crowdtribute/" TargetMode="External"/><Relationship Id="rId14" Type="http://schemas.openxmlformats.org/officeDocument/2006/relationships/hyperlink" Target="https://forms.gle/DjpoiYqCQ92FLY579" TargetMode="External"/><Relationship Id="rId58" Type="http://schemas.openxmlformats.org/officeDocument/2006/relationships/hyperlink" Target="https://docs.google.com/presentation/d/1LQI8c2Ad8ACfIusJWznDoQsju5VlfHE29MoSLDHO_EA/edit?usp=sharing" TargetMode="External"/><Relationship Id="rId17" Type="http://schemas.openxmlformats.org/officeDocument/2006/relationships/hyperlink" Target="https://hackmd.io/@osm-tw/rJiFDnlt1g" TargetMode="External"/><Relationship Id="rId16" Type="http://schemas.openxmlformats.org/officeDocument/2006/relationships/hyperlink" Target="https://wikidata.org/" TargetMode="External"/><Relationship Id="rId19" Type="http://schemas.openxmlformats.org/officeDocument/2006/relationships/hyperlink" Target="https://docs.google.com/presentation/d/17qIoOJ5x0vwnMWEOOt4q-F4qcptBUTR-uzz6XLLofI4/edit" TargetMode="External"/><Relationship Id="rId18" Type="http://schemas.openxmlformats.org/officeDocument/2006/relationships/hyperlink" Target="https://cofacts.tw/hac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0v.hackmd.io/dbGWzdy1SumyfzEnUrtZMQ?view" TargetMode="External"/><Relationship Id="rId2" Type="http://schemas.openxmlformats.org/officeDocument/2006/relationships/hyperlink" Target="https://zh.wikipedia.org/zh-tw/%E4%BA%8C%E4%BA%8C%E5%85%AB%E4%BA%8B%E4%BB%B6" TargetMode="External"/><Relationship Id="rId3" Type="http://schemas.openxmlformats.org/officeDocument/2006/relationships/hyperlink" Target="https://maps.app.goo.gl/R9LQVoPG25XcEyae9" TargetMode="External"/><Relationship Id="rId4" Type="http://schemas.openxmlformats.org/officeDocument/2006/relationships/hyperlink" Target="https://zh.wikipedia.org/zh-tw/%E4%BA%8C%E4%BA%8C%E5%85%AB%E4%BA%8B%E4%BB%B6"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4.0"/>
    <col customWidth="1" min="2" max="2" width="9.5"/>
    <col customWidth="1" min="3" max="3" width="3.75"/>
    <col customWidth="1" min="4" max="4" width="11.0"/>
    <col customWidth="1" min="5" max="5" width="14.88"/>
    <col customWidth="1" min="6" max="6" width="8.25"/>
    <col customWidth="1" min="7" max="7" width="13.63"/>
    <col customWidth="1" min="8" max="8" width="39.13"/>
    <col customWidth="1" min="9" max="9" width="12.0"/>
    <col customWidth="1" min="10" max="10" width="23.25"/>
    <col customWidth="1" min="11" max="11" width="28.38"/>
    <col customWidth="1" min="12" max="12" width="17.5"/>
    <col customWidth="1" min="13" max="13" width="21.0"/>
    <col customWidth="1" min="14" max="14" width="22.5"/>
    <col customWidth="1" min="15" max="15" width="25.0"/>
    <col customWidth="1" min="16" max="16" width="15.5"/>
    <col customWidth="1" min="17" max="18" width="18.13"/>
  </cols>
  <sheetData>
    <row r="1" ht="23.25" hidden="1" customHeight="1">
      <c r="A1" s="1"/>
      <c r="O1" s="1"/>
      <c r="P1" s="2"/>
      <c r="Q1" s="2"/>
      <c r="R1" s="2"/>
    </row>
    <row r="2" ht="69.0" customHeight="1">
      <c r="A2" s="3"/>
      <c r="B2" s="3" t="s">
        <v>0</v>
      </c>
      <c r="C2" s="4" t="s">
        <v>1</v>
      </c>
      <c r="D2" s="3" t="s">
        <v>2</v>
      </c>
      <c r="E2" s="3" t="s">
        <v>3</v>
      </c>
      <c r="F2" s="5" t="s">
        <v>4</v>
      </c>
      <c r="G2" s="3" t="s">
        <v>5</v>
      </c>
      <c r="H2" s="3" t="s">
        <v>6</v>
      </c>
      <c r="I2" s="3" t="s">
        <v>7</v>
      </c>
      <c r="J2" s="3" t="s">
        <v>8</v>
      </c>
      <c r="K2" s="3" t="s">
        <v>9</v>
      </c>
      <c r="L2" s="3" t="s">
        <v>10</v>
      </c>
      <c r="M2" s="3" t="s">
        <v>11</v>
      </c>
      <c r="N2" s="3" t="s">
        <v>12</v>
      </c>
      <c r="O2" s="3" t="s">
        <v>13</v>
      </c>
      <c r="P2" s="3" t="s">
        <v>14</v>
      </c>
      <c r="Q2" s="6" t="s">
        <v>15</v>
      </c>
      <c r="R2" s="3" t="s">
        <v>16</v>
      </c>
    </row>
    <row r="3" ht="22.5" customHeight="1">
      <c r="A3" s="7" t="s">
        <v>17</v>
      </c>
      <c r="R3" s="8"/>
    </row>
    <row r="4" ht="22.5" customHeight="1">
      <c r="A4" s="9"/>
      <c r="B4" s="9"/>
      <c r="C4" s="9"/>
      <c r="D4" s="10" t="s">
        <v>18</v>
      </c>
      <c r="E4" s="11"/>
      <c r="F4" s="12"/>
      <c r="G4" s="9"/>
      <c r="H4" s="9"/>
      <c r="I4" s="9"/>
      <c r="J4" s="9"/>
      <c r="K4" s="9"/>
      <c r="L4" s="9"/>
      <c r="M4" s="9"/>
      <c r="N4" s="9"/>
      <c r="O4" s="9"/>
      <c r="P4" s="9"/>
      <c r="Q4" s="9"/>
      <c r="R4" s="13"/>
    </row>
    <row r="5" ht="22.5" customHeight="1">
      <c r="A5" s="7" t="s">
        <v>19</v>
      </c>
      <c r="R5" s="14"/>
    </row>
    <row r="6" ht="22.5" customHeight="1">
      <c r="A6" s="15">
        <v>0.0</v>
      </c>
      <c r="B6" s="16">
        <v>0.3958333333333333</v>
      </c>
      <c r="C6" s="17"/>
      <c r="D6" s="11" t="s">
        <v>20</v>
      </c>
      <c r="E6" s="11" t="s">
        <v>21</v>
      </c>
      <c r="F6" s="18" t="s">
        <v>22</v>
      </c>
      <c r="G6" s="11"/>
      <c r="H6" s="19" t="s">
        <v>23</v>
      </c>
      <c r="I6" s="11"/>
      <c r="K6" s="20" t="s">
        <v>24</v>
      </c>
      <c r="L6" s="21"/>
      <c r="M6" s="11"/>
      <c r="N6" s="11"/>
      <c r="O6" s="11"/>
      <c r="P6" s="11"/>
      <c r="Q6" s="22"/>
      <c r="R6" s="23"/>
    </row>
    <row r="7" ht="22.5" customHeight="1">
      <c r="A7" s="15">
        <v>0.0</v>
      </c>
      <c r="B7" s="16">
        <v>0.3993055555555556</v>
      </c>
      <c r="C7" s="17"/>
      <c r="D7" s="11" t="s">
        <v>25</v>
      </c>
      <c r="E7" s="11" t="s">
        <v>21</v>
      </c>
      <c r="F7" s="18" t="s">
        <v>22</v>
      </c>
      <c r="G7" s="11"/>
      <c r="H7" s="19" t="s">
        <v>26</v>
      </c>
      <c r="I7" s="11"/>
      <c r="J7" s="24"/>
      <c r="K7" s="25"/>
      <c r="L7" s="21"/>
      <c r="M7" s="11"/>
      <c r="N7" s="11"/>
      <c r="O7" s="11"/>
      <c r="P7" s="11"/>
      <c r="Q7" s="22"/>
      <c r="R7" s="23"/>
    </row>
    <row r="8" ht="15.0" customHeight="1">
      <c r="A8" s="26" t="s">
        <v>27</v>
      </c>
      <c r="R8" s="26"/>
    </row>
    <row r="9" ht="15.0" customHeight="1">
      <c r="A9" s="27" t="s">
        <v>28</v>
      </c>
      <c r="O9" s="27"/>
      <c r="P9" s="27"/>
      <c r="Q9" s="27"/>
      <c r="R9" s="28"/>
    </row>
    <row r="10" ht="22.5" customHeight="1">
      <c r="A10" s="15">
        <v>1.0</v>
      </c>
      <c r="B10" s="16">
        <v>0.4097222222222222</v>
      </c>
      <c r="C10" s="17"/>
      <c r="D10" s="11" t="s">
        <v>29</v>
      </c>
      <c r="E10" s="11" t="s">
        <v>21</v>
      </c>
      <c r="F10" s="18" t="s">
        <v>22</v>
      </c>
      <c r="G10" s="11" t="s">
        <v>30</v>
      </c>
      <c r="H10" s="11" t="s">
        <v>31</v>
      </c>
      <c r="I10" s="11" t="s">
        <v>32</v>
      </c>
      <c r="J10" s="20" t="s">
        <v>33</v>
      </c>
      <c r="K10" s="29" t="s">
        <v>34</v>
      </c>
      <c r="L10" s="30" t="s">
        <v>22</v>
      </c>
      <c r="M10" s="11" t="s">
        <v>35</v>
      </c>
      <c r="N10" s="11"/>
      <c r="O10" s="11" t="s">
        <v>36</v>
      </c>
      <c r="P10" s="11"/>
      <c r="Q10" s="22"/>
      <c r="R10" s="23" t="str">
        <f t="shared" ref="R10:R16" si="1">"g0v tw hackathXXn — 提案 — "&amp;G10&amp;" ／ "&amp;D10&amp;" — XXX黑客松"</f>
        <v>g0v tw hackathXXn — 提案 — AI 包容共學計畫 AI Inclusive Co-Learning Project ／ 以婕, 方心, ipa — XXX黑客松</v>
      </c>
    </row>
    <row r="11" ht="15.0" customHeight="1">
      <c r="A11" s="15">
        <v>2.0</v>
      </c>
      <c r="B11" s="16">
        <v>0.41180555555555554</v>
      </c>
      <c r="C11" s="17"/>
      <c r="D11" s="15" t="s">
        <v>37</v>
      </c>
      <c r="E11" s="11" t="s">
        <v>21</v>
      </c>
      <c r="F11" s="18"/>
      <c r="G11" s="31" t="s">
        <v>38</v>
      </c>
      <c r="H11" s="31" t="s">
        <v>39</v>
      </c>
      <c r="I11" s="11"/>
      <c r="J11" s="20" t="s">
        <v>40</v>
      </c>
      <c r="K11" s="20" t="s">
        <v>41</v>
      </c>
      <c r="L11" s="30" t="s">
        <v>22</v>
      </c>
      <c r="M11" s="11" t="s">
        <v>42</v>
      </c>
      <c r="N11" s="11" t="s">
        <v>43</v>
      </c>
      <c r="O11" s="11" t="s">
        <v>44</v>
      </c>
      <c r="P11" s="11"/>
      <c r="Q11" s="22"/>
      <c r="R11" s="23" t="str">
        <f t="shared" si="1"/>
        <v>g0v tw hackathXXn — 提案 — 全能住宅改造王  ／ 智遠 — XXX黑客松</v>
      </c>
    </row>
    <row r="12" ht="15.0" customHeight="1">
      <c r="A12" s="15">
        <v>3.0</v>
      </c>
      <c r="B12" s="16">
        <v>0.41388888888888886</v>
      </c>
      <c r="C12" s="17"/>
      <c r="D12" s="17" t="s">
        <v>45</v>
      </c>
      <c r="E12" s="11" t="s">
        <v>21</v>
      </c>
      <c r="F12" s="18"/>
      <c r="G12" s="11" t="s">
        <v>46</v>
      </c>
      <c r="H12" s="11" t="s">
        <v>47</v>
      </c>
      <c r="I12" s="32" t="s">
        <v>48</v>
      </c>
      <c r="J12" s="20" t="s">
        <v>49</v>
      </c>
      <c r="K12" s="20" t="s">
        <v>50</v>
      </c>
      <c r="L12" s="30" t="s">
        <v>51</v>
      </c>
      <c r="M12" s="11" t="s">
        <v>52</v>
      </c>
      <c r="N12" s="11" t="s">
        <v>53</v>
      </c>
      <c r="O12" s="11" t="s">
        <v>54</v>
      </c>
      <c r="P12" s="11"/>
      <c r="Q12" s="22"/>
      <c r="R12" s="23" t="str">
        <f t="shared" si="1"/>
        <v>g0v tw hackathXXn — 提案 — vtaiwan 議題小聚 ／ peter  — XXX黑客松</v>
      </c>
    </row>
    <row r="13" ht="15.0" customHeight="1">
      <c r="A13" s="15">
        <v>4.0</v>
      </c>
      <c r="B13" s="16">
        <v>0.41597222222222224</v>
      </c>
      <c r="C13" s="17"/>
      <c r="D13" s="11" t="s">
        <v>55</v>
      </c>
      <c r="E13" s="11" t="s">
        <v>56</v>
      </c>
      <c r="F13" s="18" t="s">
        <v>22</v>
      </c>
      <c r="G13" s="11" t="s">
        <v>57</v>
      </c>
      <c r="H13" s="11" t="s">
        <v>58</v>
      </c>
      <c r="I13" s="11"/>
      <c r="J13" s="33" t="s">
        <v>59</v>
      </c>
      <c r="K13" s="11"/>
      <c r="L13" s="30" t="s">
        <v>51</v>
      </c>
      <c r="M13" s="11" t="s">
        <v>60</v>
      </c>
      <c r="N13" s="11" t="s">
        <v>61</v>
      </c>
      <c r="O13" s="11" t="s">
        <v>62</v>
      </c>
      <c r="P13" s="20" t="s">
        <v>63</v>
      </c>
      <c r="Q13" s="22"/>
      <c r="R13" s="23" t="str">
        <f t="shared" si="1"/>
        <v>g0v tw hackathXXn — 提案 — The Cone Club ／ Caleb — XXX黑客松</v>
      </c>
    </row>
    <row r="14" ht="15.0" customHeight="1">
      <c r="A14" s="15">
        <v>5.0</v>
      </c>
      <c r="B14" s="16">
        <v>0.41805555555555557</v>
      </c>
      <c r="C14" s="17"/>
      <c r="D14" s="11" t="s">
        <v>64</v>
      </c>
      <c r="E14" s="11" t="s">
        <v>21</v>
      </c>
      <c r="F14" s="18" t="s">
        <v>22</v>
      </c>
      <c r="G14" s="11" t="s">
        <v>65</v>
      </c>
      <c r="H14" s="11" t="s">
        <v>66</v>
      </c>
      <c r="I14" s="11" t="s">
        <v>67</v>
      </c>
      <c r="J14" s="20" t="s">
        <v>68</v>
      </c>
      <c r="K14" s="20" t="s">
        <v>69</v>
      </c>
      <c r="L14" s="30" t="s">
        <v>51</v>
      </c>
      <c r="M14" s="11" t="s">
        <v>70</v>
      </c>
      <c r="N14" s="11" t="s">
        <v>71</v>
      </c>
      <c r="O14" s="11" t="s">
        <v>72</v>
      </c>
      <c r="P14" s="11"/>
      <c r="Q14" s="22"/>
      <c r="R14" s="23" t="str">
        <f t="shared" si="1"/>
        <v>g0v tw hackathXXn — 提案 — 網站韌性檢測
Website Resilience Testing ／ Irvin — XXX黑客松</v>
      </c>
    </row>
    <row r="15" ht="15.0" customHeight="1">
      <c r="A15" s="15">
        <v>6.0</v>
      </c>
      <c r="B15" s="16">
        <v>0.4201388888888889</v>
      </c>
      <c r="C15" s="17"/>
      <c r="D15" s="11" t="s">
        <v>73</v>
      </c>
      <c r="E15" s="11" t="s">
        <v>21</v>
      </c>
      <c r="F15" s="18" t="s">
        <v>22</v>
      </c>
      <c r="G15" s="11" t="s">
        <v>74</v>
      </c>
      <c r="H15" s="11"/>
      <c r="I15" s="11" t="s">
        <v>75</v>
      </c>
      <c r="J15" s="20" t="s">
        <v>76</v>
      </c>
      <c r="K15" s="20" t="s">
        <v>77</v>
      </c>
      <c r="L15" s="30" t="s">
        <v>51</v>
      </c>
      <c r="M15" s="34" t="s">
        <v>78</v>
      </c>
      <c r="N15" s="11"/>
      <c r="O15" s="11"/>
      <c r="P15" s="11"/>
      <c r="Q15" s="22"/>
      <c r="R15" s="23" t="str">
        <f t="shared" si="1"/>
        <v>g0v tw hackathXXn — 提案 — Civic Tech Project &amp; Community Handbook ／ Tiff — XXX黑客松</v>
      </c>
    </row>
    <row r="16" ht="18.0" customHeight="1">
      <c r="A16" s="15">
        <v>7.0</v>
      </c>
      <c r="B16" s="16">
        <v>0.4222222222222222</v>
      </c>
      <c r="C16" s="17"/>
      <c r="D16" s="11" t="s">
        <v>79</v>
      </c>
      <c r="E16" s="11" t="s">
        <v>21</v>
      </c>
      <c r="F16" s="18"/>
      <c r="G16" s="11" t="s">
        <v>80</v>
      </c>
      <c r="H16" s="11" t="s">
        <v>81</v>
      </c>
      <c r="I16" s="11" t="s">
        <v>32</v>
      </c>
      <c r="J16" s="20" t="s">
        <v>82</v>
      </c>
      <c r="K16" s="20" t="s">
        <v>83</v>
      </c>
      <c r="L16" s="30" t="s">
        <v>51</v>
      </c>
      <c r="M16" s="15" t="s">
        <v>84</v>
      </c>
      <c r="N16" s="11" t="s">
        <v>85</v>
      </c>
      <c r="O16" s="11" t="s">
        <v>86</v>
      </c>
      <c r="P16" s="11"/>
      <c r="Q16" s="22"/>
      <c r="R16" s="23" t="str">
        <f t="shared" si="1"/>
        <v>g0v tw hackathXXn — 提案 — 負責任 AI 使用與開發指南
Responsible AI Guide ／ Isabel, Tiff — XXX黑客松</v>
      </c>
    </row>
    <row r="17" ht="15.0" customHeight="1">
      <c r="A17" s="15">
        <v>8.0</v>
      </c>
      <c r="B17" s="16">
        <v>0.42430555555555555</v>
      </c>
      <c r="C17" s="17"/>
      <c r="D17" s="11" t="s">
        <v>87</v>
      </c>
      <c r="E17" s="11" t="s">
        <v>21</v>
      </c>
      <c r="F17" s="18" t="s">
        <v>22</v>
      </c>
      <c r="G17" s="11" t="s">
        <v>88</v>
      </c>
      <c r="H17" s="11" t="s">
        <v>89</v>
      </c>
      <c r="I17" s="11"/>
      <c r="J17" s="20" t="s">
        <v>90</v>
      </c>
      <c r="K17" s="20" t="s">
        <v>91</v>
      </c>
      <c r="L17" s="30" t="s">
        <v>22</v>
      </c>
      <c r="M17" s="11" t="s">
        <v>92</v>
      </c>
      <c r="N17" s="11"/>
      <c r="O17" s="11" t="s">
        <v>93</v>
      </c>
      <c r="P17" s="11"/>
      <c r="Q17" s="22"/>
      <c r="R17" s="23" t="str">
        <f>"g0v tw hackathXXn — 提案 — "&amp;G20&amp;" ／ "&amp;D20&amp;" — XXX黑客松"</f>
        <v>g0v tw hackathXXn — 提案 — OONI 臺灣網路自由觀察 ／ Toomore — XXX黑客松</v>
      </c>
    </row>
    <row r="18" ht="15.0" customHeight="1">
      <c r="A18" s="15">
        <v>9.0</v>
      </c>
      <c r="B18" s="16">
        <v>0.4263888888888889</v>
      </c>
      <c r="C18" s="17"/>
      <c r="D18" s="11" t="s">
        <v>94</v>
      </c>
      <c r="E18" s="11" t="s">
        <v>21</v>
      </c>
      <c r="F18" s="18" t="s">
        <v>22</v>
      </c>
      <c r="G18" s="11" t="s">
        <v>95</v>
      </c>
      <c r="H18" s="11" t="s">
        <v>96</v>
      </c>
      <c r="I18" s="11"/>
      <c r="J18" s="11"/>
      <c r="K18" s="11"/>
      <c r="L18" s="30" t="s">
        <v>22</v>
      </c>
      <c r="M18" s="11" t="s">
        <v>97</v>
      </c>
      <c r="N18" s="11" t="s">
        <v>98</v>
      </c>
      <c r="O18" s="11" t="s">
        <v>99</v>
      </c>
      <c r="P18" s="11"/>
      <c r="Q18" s="22"/>
      <c r="R18" s="23" t="str">
        <f t="shared" ref="R18:R24" si="2">"g0v tw hackathXXn — 提案 — "&amp;G18&amp;" ／ "&amp;D18&amp;" — XXX黑客松"</f>
        <v>g0v tw hackathXXn — 提案 — BMPP慢慢學中文：給印尼移工的中文學習工具 ／ kevin — XXX黑客松</v>
      </c>
    </row>
    <row r="19" ht="15.0" customHeight="1">
      <c r="A19" s="15">
        <v>10.0</v>
      </c>
      <c r="B19" s="16">
        <v>0.4284722222222222</v>
      </c>
      <c r="C19" s="17"/>
      <c r="D19" s="11" t="s">
        <v>100</v>
      </c>
      <c r="E19" s="11" t="s">
        <v>21</v>
      </c>
      <c r="F19" s="18" t="s">
        <v>22</v>
      </c>
      <c r="G19" s="11" t="s">
        <v>101</v>
      </c>
      <c r="H19" s="11" t="s">
        <v>102</v>
      </c>
      <c r="I19" s="11" t="s">
        <v>103</v>
      </c>
      <c r="J19" s="20" t="s">
        <v>104</v>
      </c>
      <c r="K19" s="20" t="s">
        <v>105</v>
      </c>
      <c r="L19" s="30" t="s">
        <v>106</v>
      </c>
      <c r="M19" s="11" t="s">
        <v>107</v>
      </c>
      <c r="N19" s="11" t="s">
        <v>108</v>
      </c>
      <c r="O19" s="11" t="s">
        <v>109</v>
      </c>
      <c r="P19" s="11"/>
      <c r="Q19" s="22"/>
      <c r="R19" s="23" t="str">
        <f t="shared" si="2"/>
        <v>g0v tw hackathXXn — 提案 — Cofacts 真的假的  ／ bil — XXX黑客松</v>
      </c>
    </row>
    <row r="20" ht="15.0" customHeight="1">
      <c r="A20" s="15">
        <v>11.0</v>
      </c>
      <c r="B20" s="16">
        <v>0.4305555555555556</v>
      </c>
      <c r="C20" s="17"/>
      <c r="D20" s="11" t="s">
        <v>110</v>
      </c>
      <c r="E20" s="11" t="s">
        <v>21</v>
      </c>
      <c r="F20" s="18" t="s">
        <v>22</v>
      </c>
      <c r="G20" s="11" t="s">
        <v>111</v>
      </c>
      <c r="H20" s="20" t="s">
        <v>112</v>
      </c>
      <c r="I20" s="11" t="s">
        <v>113</v>
      </c>
      <c r="J20" s="11"/>
      <c r="K20" s="20" t="s">
        <v>114</v>
      </c>
      <c r="L20" s="30" t="s">
        <v>22</v>
      </c>
      <c r="M20" s="11" t="s">
        <v>115</v>
      </c>
      <c r="N20" s="11" t="s">
        <v>116</v>
      </c>
      <c r="O20" s="11" t="s">
        <v>117</v>
      </c>
      <c r="P20" s="11"/>
      <c r="Q20" s="22"/>
      <c r="R20" s="23" t="str">
        <f t="shared" si="2"/>
        <v>g0v tw hackathXXn — 提案 — OONI 臺灣網路自由觀察 ／ Toomore — XXX黑客松</v>
      </c>
    </row>
    <row r="21" ht="15.0" customHeight="1">
      <c r="A21" s="15">
        <v>12.0</v>
      </c>
      <c r="B21" s="16">
        <v>0.4326388888888889</v>
      </c>
      <c r="C21" s="17"/>
      <c r="D21" s="15" t="s">
        <v>118</v>
      </c>
      <c r="E21" s="11" t="s">
        <v>21</v>
      </c>
      <c r="F21" s="18"/>
      <c r="G21" s="35" t="s">
        <v>119</v>
      </c>
      <c r="H21" s="31" t="s">
        <v>120</v>
      </c>
      <c r="I21" s="11"/>
      <c r="J21" s="36"/>
      <c r="K21" s="20" t="s">
        <v>121</v>
      </c>
      <c r="L21" s="30" t="s">
        <v>22</v>
      </c>
      <c r="M21" s="11" t="s">
        <v>122</v>
      </c>
      <c r="N21" s="11"/>
      <c r="O21" s="11"/>
      <c r="P21" s="11"/>
      <c r="Q21" s="22"/>
      <c r="R21" s="23" t="str">
        <f t="shared" si="2"/>
        <v>g0v tw hackathXXn — 提案 — 台灣高碳排企業ESG魯洨洨 ／ Brian &amp; Dawei — XXX黑客松</v>
      </c>
    </row>
    <row r="22" ht="15.0" customHeight="1">
      <c r="A22" s="15">
        <v>13.0</v>
      </c>
      <c r="B22" s="16">
        <v>0.43472222222222223</v>
      </c>
      <c r="C22" s="17"/>
      <c r="D22" s="11" t="s">
        <v>123</v>
      </c>
      <c r="E22" s="11" t="s">
        <v>21</v>
      </c>
      <c r="F22" s="18"/>
      <c r="G22" s="11" t="s">
        <v>124</v>
      </c>
      <c r="H22" s="37" t="s">
        <v>125</v>
      </c>
      <c r="I22" s="11"/>
      <c r="J22" s="37" t="s">
        <v>126</v>
      </c>
      <c r="K22" s="20" t="s">
        <v>127</v>
      </c>
      <c r="L22" s="30" t="s">
        <v>22</v>
      </c>
      <c r="M22" s="11" t="s">
        <v>128</v>
      </c>
      <c r="N22" s="11" t="s">
        <v>129</v>
      </c>
      <c r="O22" s="11" t="s">
        <v>130</v>
      </c>
      <c r="P22" s="20" t="s">
        <v>131</v>
      </c>
      <c r="Q22" s="22"/>
      <c r="R22" s="23" t="str">
        <f t="shared" si="2"/>
        <v>g0v tw hackathXXn — 提案 — 轉屋教育：Groundi 高中生的熱情專案平台 ／ Joanne — XXX黑客松</v>
      </c>
    </row>
    <row r="23" ht="15.0" customHeight="1">
      <c r="A23" s="15">
        <v>14.0</v>
      </c>
      <c r="B23" s="16">
        <v>0.43680555555555556</v>
      </c>
      <c r="C23" s="17"/>
      <c r="D23" s="11" t="s">
        <v>132</v>
      </c>
      <c r="E23" s="11" t="s">
        <v>21</v>
      </c>
      <c r="F23" s="18" t="s">
        <v>22</v>
      </c>
      <c r="G23" s="38" t="s">
        <v>133</v>
      </c>
      <c r="H23" s="11" t="s">
        <v>134</v>
      </c>
      <c r="I23" s="11" t="s">
        <v>113</v>
      </c>
      <c r="J23" s="39" t="s">
        <v>135</v>
      </c>
      <c r="K23" s="29" t="s">
        <v>136</v>
      </c>
      <c r="L23" s="30" t="s">
        <v>22</v>
      </c>
      <c r="M23" s="11" t="s">
        <v>137</v>
      </c>
      <c r="N23" s="11" t="s">
        <v>138</v>
      </c>
      <c r="O23" s="11" t="s">
        <v>36</v>
      </c>
      <c r="P23" s="11"/>
      <c r="Q23" s="22"/>
      <c r="R23" s="23" t="str">
        <f t="shared" si="2"/>
        <v>g0v tw hackathXXn — 提案 — 安全空間如何友善 ／ 宣蓉, 揪松團 — XXX黑客松</v>
      </c>
    </row>
    <row r="24" ht="15.0" customHeight="1">
      <c r="A24" s="15">
        <v>15.0</v>
      </c>
      <c r="B24" s="16">
        <v>0.4388888888888889</v>
      </c>
      <c r="C24" s="17"/>
      <c r="D24" s="40" t="s">
        <v>139</v>
      </c>
      <c r="E24" s="11" t="s">
        <v>21</v>
      </c>
      <c r="F24" s="18"/>
      <c r="G24" s="11"/>
      <c r="H24" s="11" t="s">
        <v>140</v>
      </c>
      <c r="I24" s="41"/>
      <c r="J24" s="39" t="s">
        <v>141</v>
      </c>
      <c r="K24" s="20" t="s">
        <v>142</v>
      </c>
      <c r="L24" s="30"/>
      <c r="M24" s="11"/>
      <c r="N24" s="11"/>
      <c r="O24" s="11"/>
      <c r="P24" s="11"/>
      <c r="Q24" s="22"/>
      <c r="R24" s="23" t="str">
        <f t="shared" si="2"/>
        <v>g0v tw hackathXXn — 提案 —  ／ Nataliya Gumenyuk — XXX黑客松</v>
      </c>
    </row>
    <row r="25" ht="15.0" customHeight="1">
      <c r="A25" s="11"/>
      <c r="B25" s="16"/>
      <c r="C25" s="17"/>
      <c r="D25" s="42" t="s">
        <v>143</v>
      </c>
      <c r="E25" s="11"/>
      <c r="F25" s="18"/>
      <c r="G25" s="11"/>
      <c r="H25" s="11"/>
      <c r="I25" s="11"/>
      <c r="J25" s="11"/>
      <c r="K25" s="11"/>
      <c r="L25" s="30"/>
      <c r="M25" s="11"/>
      <c r="N25" s="11"/>
      <c r="O25" s="11"/>
      <c r="P25" s="11"/>
      <c r="Q25" s="22"/>
      <c r="R25" s="22"/>
    </row>
    <row r="26" ht="15.0" customHeight="1">
      <c r="A26" s="11"/>
      <c r="B26" s="17" t="s">
        <v>144</v>
      </c>
      <c r="C26" s="17"/>
      <c r="D26" s="11" t="s">
        <v>145</v>
      </c>
      <c r="E26" s="11" t="s">
        <v>21</v>
      </c>
      <c r="F26" s="18" t="s">
        <v>22</v>
      </c>
      <c r="G26" s="38" t="s">
        <v>146</v>
      </c>
      <c r="H26" s="11" t="s">
        <v>147</v>
      </c>
      <c r="I26" s="11"/>
      <c r="J26" s="11"/>
      <c r="K26" s="20" t="s">
        <v>148</v>
      </c>
      <c r="L26" s="30"/>
      <c r="M26" s="11"/>
      <c r="N26" s="11"/>
      <c r="O26" s="11"/>
      <c r="P26" s="11"/>
      <c r="Q26" s="22"/>
      <c r="R26" s="22"/>
    </row>
    <row r="27" ht="15.0" customHeight="1">
      <c r="A27" s="15"/>
      <c r="B27" s="17" t="s">
        <v>144</v>
      </c>
      <c r="C27" s="17"/>
      <c r="D27" s="43" t="s">
        <v>149</v>
      </c>
      <c r="E27" s="11" t="s">
        <v>21</v>
      </c>
      <c r="F27" s="18" t="s">
        <v>22</v>
      </c>
      <c r="G27" s="44" t="s">
        <v>150</v>
      </c>
      <c r="H27" s="11" t="s">
        <v>151</v>
      </c>
      <c r="I27" s="11" t="s">
        <v>103</v>
      </c>
      <c r="J27" s="11"/>
      <c r="K27" s="20" t="s">
        <v>152</v>
      </c>
      <c r="L27" s="30"/>
      <c r="M27" s="11"/>
      <c r="N27" s="11"/>
      <c r="O27" s="11"/>
      <c r="P27" s="11"/>
      <c r="Q27" s="22"/>
      <c r="R27" s="22"/>
    </row>
    <row r="28" ht="15.0" customHeight="1">
      <c r="A28" s="11"/>
      <c r="B28" s="17" t="s">
        <v>144</v>
      </c>
      <c r="C28" s="17"/>
      <c r="D28" s="11" t="s">
        <v>153</v>
      </c>
      <c r="E28" s="11" t="s">
        <v>21</v>
      </c>
      <c r="F28" s="18" t="s">
        <v>22</v>
      </c>
      <c r="G28" s="11" t="s">
        <v>154</v>
      </c>
      <c r="H28" s="11" t="s">
        <v>155</v>
      </c>
      <c r="I28" s="11" t="s">
        <v>156</v>
      </c>
      <c r="J28" s="39" t="s">
        <v>157</v>
      </c>
      <c r="K28" s="20" t="s">
        <v>158</v>
      </c>
      <c r="L28" s="30" t="s">
        <v>22</v>
      </c>
      <c r="M28" s="11" t="s">
        <v>159</v>
      </c>
      <c r="N28" s="11"/>
      <c r="O28" s="11" t="s">
        <v>160</v>
      </c>
      <c r="P28" s="11"/>
      <c r="Q28" s="22"/>
      <c r="R28" s="22"/>
    </row>
    <row r="29" ht="15.0" customHeight="1">
      <c r="A29" s="11"/>
      <c r="B29" s="17" t="s">
        <v>144</v>
      </c>
      <c r="C29" s="17"/>
      <c r="D29" s="11" t="s">
        <v>161</v>
      </c>
      <c r="E29" s="11" t="s">
        <v>21</v>
      </c>
      <c r="F29" s="18" t="s">
        <v>22</v>
      </c>
      <c r="G29" s="11" t="s">
        <v>162</v>
      </c>
      <c r="H29" s="11" t="s">
        <v>163</v>
      </c>
      <c r="I29" s="11" t="s">
        <v>164</v>
      </c>
      <c r="J29" s="11"/>
      <c r="K29" s="39" t="s">
        <v>165</v>
      </c>
      <c r="L29" s="30" t="s">
        <v>22</v>
      </c>
      <c r="M29" s="11" t="s">
        <v>166</v>
      </c>
      <c r="N29" s="11" t="s">
        <v>167</v>
      </c>
      <c r="O29" s="39" t="s">
        <v>168</v>
      </c>
      <c r="P29" s="11"/>
      <c r="Q29" s="22"/>
      <c r="R29" s="22"/>
    </row>
    <row r="30" ht="15.0" customHeight="1">
      <c r="A30" s="11"/>
      <c r="B30" s="17" t="s">
        <v>144</v>
      </c>
      <c r="C30" s="17"/>
      <c r="D30" s="11" t="s">
        <v>169</v>
      </c>
      <c r="E30" s="11" t="s">
        <v>21</v>
      </c>
      <c r="F30" s="18" t="s">
        <v>22</v>
      </c>
      <c r="G30" s="11" t="s">
        <v>170</v>
      </c>
      <c r="H30" s="11" t="s">
        <v>170</v>
      </c>
      <c r="I30" s="11" t="s">
        <v>67</v>
      </c>
      <c r="J30" s="39" t="s">
        <v>171</v>
      </c>
      <c r="K30" s="20" t="s">
        <v>33</v>
      </c>
      <c r="L30" s="30"/>
      <c r="M30" s="11" t="s">
        <v>172</v>
      </c>
      <c r="N30" s="11"/>
      <c r="O30" s="11" t="s">
        <v>173</v>
      </c>
      <c r="P30" s="11"/>
      <c r="Q30" s="22"/>
      <c r="R30" s="22"/>
    </row>
    <row r="31" ht="15.0" customHeight="1">
      <c r="A31" s="26" t="s">
        <v>174</v>
      </c>
      <c r="R31" s="45"/>
    </row>
    <row r="32" ht="15.0" customHeight="1">
      <c r="A32" s="11"/>
      <c r="B32" s="16"/>
      <c r="C32" s="17"/>
      <c r="D32" s="11"/>
      <c r="E32" s="11"/>
      <c r="F32" s="18"/>
      <c r="G32" s="11"/>
      <c r="H32" s="11"/>
      <c r="I32" s="11"/>
      <c r="J32" s="11"/>
      <c r="K32" s="11"/>
      <c r="L32" s="30"/>
      <c r="M32" s="11"/>
      <c r="N32" s="11"/>
      <c r="O32" s="11"/>
      <c r="P32" s="11"/>
      <c r="Q32" s="22"/>
      <c r="R32" s="22"/>
    </row>
    <row r="33" ht="15.0" customHeight="1">
      <c r="A33" s="26" t="s">
        <v>175</v>
      </c>
      <c r="R33" s="45"/>
    </row>
    <row r="34" ht="15.0" customHeight="1">
      <c r="A34" s="11"/>
      <c r="B34" s="46"/>
      <c r="C34" s="17"/>
      <c r="D34" s="11"/>
      <c r="E34" s="11"/>
      <c r="F34" s="11"/>
      <c r="G34" s="11"/>
      <c r="H34" s="11"/>
      <c r="I34" s="11"/>
      <c r="J34" s="11"/>
      <c r="K34" s="11"/>
      <c r="L34" s="21"/>
      <c r="M34" s="11"/>
      <c r="N34" s="11"/>
      <c r="O34" s="11"/>
      <c r="P34" s="11"/>
      <c r="Q34" s="22"/>
      <c r="R34" s="22"/>
    </row>
    <row r="35" ht="15.0" customHeight="1">
      <c r="A35" s="11"/>
      <c r="B35" s="16"/>
      <c r="C35" s="17"/>
      <c r="D35" s="11"/>
      <c r="E35" s="11"/>
      <c r="F35" s="11"/>
      <c r="G35" s="11"/>
      <c r="H35" s="11"/>
      <c r="I35" s="11"/>
      <c r="J35" s="11"/>
      <c r="K35" s="11"/>
      <c r="L35" s="21"/>
      <c r="M35" s="11"/>
      <c r="N35" s="11"/>
      <c r="O35" s="11"/>
      <c r="P35" s="11"/>
      <c r="Q35" s="22"/>
      <c r="R35" s="22"/>
    </row>
    <row r="36" ht="15.0" customHeight="1">
      <c r="A36" s="26" t="s">
        <v>176</v>
      </c>
      <c r="R36" s="45"/>
    </row>
    <row r="37" ht="15.0" customHeight="1">
      <c r="A37" s="11"/>
      <c r="B37" s="17"/>
      <c r="C37" s="17"/>
      <c r="D37" s="47" t="s">
        <v>177</v>
      </c>
      <c r="E37" s="11"/>
      <c r="F37" s="11"/>
      <c r="G37" s="11"/>
      <c r="H37" s="11"/>
      <c r="I37" s="11"/>
      <c r="J37" s="11"/>
      <c r="K37" s="11"/>
      <c r="L37" s="21"/>
      <c r="M37" s="11"/>
      <c r="N37" s="11"/>
      <c r="O37" s="11"/>
      <c r="P37" s="11"/>
      <c r="Q37" s="22"/>
      <c r="R37" s="22"/>
    </row>
    <row r="38" ht="15.0" customHeight="1">
      <c r="A38" s="11"/>
      <c r="B38" s="16"/>
      <c r="C38" s="17"/>
      <c r="D38" s="48" t="s">
        <v>178</v>
      </c>
      <c r="E38" s="11"/>
      <c r="F38" s="11"/>
      <c r="G38" s="11"/>
      <c r="H38" s="11"/>
      <c r="I38" s="11"/>
      <c r="J38" s="11"/>
      <c r="K38" s="11"/>
      <c r="L38" s="21"/>
      <c r="M38" s="11"/>
      <c r="N38" s="11"/>
      <c r="O38" s="11"/>
      <c r="P38" s="11"/>
      <c r="Q38" s="22"/>
      <c r="R38" s="22"/>
    </row>
    <row r="39" ht="15.0" customHeight="1">
      <c r="A39" s="11"/>
      <c r="B39" s="16"/>
      <c r="C39" s="17"/>
      <c r="D39" s="48" t="s">
        <v>179</v>
      </c>
      <c r="E39" s="11"/>
      <c r="F39" s="11"/>
      <c r="G39" s="11"/>
      <c r="H39" s="11"/>
      <c r="I39" s="11"/>
      <c r="J39" s="11"/>
      <c r="K39" s="11"/>
      <c r="L39" s="21"/>
      <c r="M39" s="11"/>
      <c r="N39" s="11"/>
      <c r="O39" s="11"/>
      <c r="P39" s="11"/>
      <c r="Q39" s="22"/>
      <c r="R39" s="22"/>
    </row>
    <row r="40" ht="15.0" customHeight="1">
      <c r="A40" s="11"/>
      <c r="B40" s="16"/>
      <c r="C40" s="17"/>
      <c r="D40" s="48" t="s">
        <v>180</v>
      </c>
      <c r="E40" s="11"/>
      <c r="F40" s="11"/>
      <c r="G40" s="11"/>
      <c r="H40" s="11"/>
      <c r="I40" s="11"/>
      <c r="J40" s="11"/>
      <c r="K40" s="11"/>
      <c r="L40" s="21"/>
      <c r="M40" s="11"/>
      <c r="N40" s="11"/>
      <c r="O40" s="11"/>
      <c r="P40" s="11"/>
      <c r="Q40" s="22"/>
      <c r="R40" s="22"/>
    </row>
    <row r="41" ht="15.0" customHeight="1">
      <c r="A41" s="11"/>
      <c r="B41" s="16"/>
      <c r="C41" s="17"/>
      <c r="D41" s="48" t="s">
        <v>181</v>
      </c>
      <c r="E41" s="11"/>
      <c r="F41" s="11"/>
      <c r="G41" s="11"/>
      <c r="H41" s="11"/>
      <c r="I41" s="11"/>
      <c r="J41" s="11"/>
      <c r="K41" s="11"/>
      <c r="L41" s="21"/>
      <c r="M41" s="11"/>
      <c r="N41" s="11"/>
      <c r="O41" s="11"/>
      <c r="P41" s="11"/>
      <c r="Q41" s="22"/>
      <c r="R41" s="22"/>
    </row>
    <row r="42" ht="15.0" customHeight="1">
      <c r="A42" s="11"/>
      <c r="B42" s="16"/>
      <c r="C42" s="17"/>
      <c r="D42" s="11"/>
      <c r="E42" s="11"/>
      <c r="F42" s="11"/>
      <c r="G42" s="11"/>
      <c r="H42" s="11"/>
      <c r="I42" s="11"/>
      <c r="J42" s="11"/>
      <c r="K42" s="11"/>
      <c r="L42" s="21"/>
      <c r="M42" s="11"/>
      <c r="N42" s="11"/>
      <c r="O42" s="11"/>
      <c r="P42" s="11"/>
      <c r="Q42" s="22"/>
      <c r="R42" s="22"/>
    </row>
    <row r="43" ht="15.0" customHeight="1">
      <c r="A43" s="26" t="s">
        <v>182</v>
      </c>
      <c r="R43" s="45"/>
    </row>
    <row r="44" ht="27.0" customHeight="1">
      <c r="A44" s="11"/>
      <c r="B44" s="16"/>
      <c r="C44" s="17"/>
      <c r="D44" s="49" t="s">
        <v>183</v>
      </c>
      <c r="E44" s="50" t="s">
        <v>141</v>
      </c>
      <c r="F44" s="11"/>
      <c r="G44" s="11"/>
      <c r="H44" s="11"/>
      <c r="I44" s="11"/>
      <c r="J44" s="11"/>
      <c r="K44" s="11"/>
      <c r="L44" s="21"/>
      <c r="M44" s="11"/>
      <c r="N44" s="11"/>
      <c r="O44" s="11"/>
      <c r="P44" s="11"/>
      <c r="Q44" s="22"/>
      <c r="R44" s="22"/>
    </row>
    <row r="45" ht="27.0" customHeight="1">
      <c r="A45" s="11"/>
      <c r="B45" s="16"/>
      <c r="C45" s="17"/>
      <c r="D45" s="51" t="s">
        <v>184</v>
      </c>
      <c r="E45" s="50" t="s">
        <v>185</v>
      </c>
      <c r="F45" s="11"/>
      <c r="G45" s="11"/>
      <c r="H45" s="11"/>
      <c r="I45" s="11"/>
      <c r="J45" s="11"/>
      <c r="K45" s="11"/>
      <c r="L45" s="21"/>
      <c r="M45" s="11"/>
      <c r="N45" s="11"/>
      <c r="O45" s="11"/>
      <c r="P45" s="11"/>
      <c r="Q45" s="22"/>
      <c r="R45" s="22"/>
    </row>
    <row r="46" ht="15.0" customHeight="1">
      <c r="A46" s="26" t="s">
        <v>186</v>
      </c>
      <c r="R46" s="45"/>
    </row>
    <row r="47" ht="15.0" customHeight="1">
      <c r="A47" s="11"/>
      <c r="B47" s="16"/>
      <c r="C47" s="17"/>
      <c r="D47" s="48" t="s">
        <v>187</v>
      </c>
      <c r="E47" s="11"/>
      <c r="F47" s="11"/>
      <c r="G47" s="11"/>
      <c r="H47" s="11"/>
      <c r="I47" s="11"/>
      <c r="J47" s="11"/>
      <c r="K47" s="11"/>
      <c r="L47" s="21"/>
      <c r="M47" s="11"/>
      <c r="N47" s="11"/>
      <c r="O47" s="11"/>
      <c r="P47" s="11"/>
      <c r="Q47" s="22"/>
      <c r="R47" s="22"/>
    </row>
    <row r="48" ht="15.0" customHeight="1">
      <c r="A48" s="11"/>
      <c r="B48" s="16"/>
      <c r="C48" s="17"/>
      <c r="D48" s="48" t="s">
        <v>188</v>
      </c>
      <c r="E48" s="11"/>
      <c r="F48" s="11"/>
      <c r="G48" s="11"/>
      <c r="H48" s="11"/>
      <c r="I48" s="11"/>
      <c r="J48" s="11"/>
      <c r="K48" s="11"/>
      <c r="L48" s="21"/>
      <c r="M48" s="11"/>
      <c r="N48" s="11"/>
      <c r="O48" s="11"/>
      <c r="P48" s="11"/>
      <c r="Q48" s="22"/>
      <c r="R48" s="22"/>
    </row>
    <row r="49" ht="15.0" customHeight="1">
      <c r="A49" s="11"/>
      <c r="B49" s="16"/>
      <c r="C49" s="17"/>
      <c r="D49" s="47" t="s">
        <v>189</v>
      </c>
      <c r="E49" s="11"/>
      <c r="F49" s="11"/>
      <c r="G49" s="11"/>
      <c r="H49" s="11"/>
      <c r="I49" s="11"/>
      <c r="J49" s="11"/>
      <c r="K49" s="11"/>
      <c r="L49" s="21"/>
      <c r="M49" s="11"/>
      <c r="N49" s="11"/>
      <c r="O49" s="11"/>
      <c r="P49" s="11"/>
      <c r="Q49" s="22"/>
      <c r="R49" s="22"/>
    </row>
    <row r="50" ht="15.0" customHeight="1">
      <c r="A50" s="11"/>
      <c r="B50" s="16"/>
      <c r="C50" s="17"/>
      <c r="D50" s="48" t="s">
        <v>190</v>
      </c>
      <c r="E50" s="11"/>
      <c r="F50" s="11"/>
      <c r="G50" s="11"/>
      <c r="H50" s="11"/>
      <c r="I50" s="11"/>
      <c r="J50" s="11"/>
      <c r="K50" s="11"/>
      <c r="L50" s="21"/>
      <c r="M50" s="11"/>
      <c r="N50" s="11"/>
      <c r="O50" s="11"/>
      <c r="P50" s="11"/>
      <c r="Q50" s="22"/>
      <c r="R50" s="22"/>
    </row>
    <row r="51" ht="15.0" customHeight="1">
      <c r="A51" s="11"/>
      <c r="B51" s="16"/>
      <c r="C51" s="17"/>
      <c r="D51" s="11"/>
      <c r="E51" s="11"/>
      <c r="F51" s="11"/>
      <c r="G51" s="11"/>
      <c r="H51" s="11"/>
      <c r="I51" s="11"/>
      <c r="J51" s="11"/>
      <c r="K51" s="11"/>
      <c r="L51" s="21"/>
      <c r="M51" s="11"/>
      <c r="N51" s="11"/>
      <c r="O51" s="11"/>
      <c r="P51" s="11"/>
      <c r="Q51" s="22"/>
      <c r="R51" s="22"/>
    </row>
    <row r="52" ht="15.0" customHeight="1">
      <c r="A52" s="26" t="s">
        <v>191</v>
      </c>
      <c r="R52" s="45"/>
    </row>
    <row r="53" ht="15.0" customHeight="1">
      <c r="A53" s="11"/>
      <c r="B53" s="16"/>
      <c r="C53" s="17"/>
      <c r="D53" s="48" t="s">
        <v>192</v>
      </c>
      <c r="E53" s="11"/>
      <c r="F53" s="11"/>
      <c r="G53" s="11"/>
      <c r="H53" s="11"/>
      <c r="I53" s="11"/>
      <c r="J53" s="11"/>
      <c r="K53" s="11"/>
      <c r="L53" s="21"/>
      <c r="M53" s="11"/>
      <c r="N53" s="11"/>
      <c r="O53" s="11"/>
      <c r="P53" s="11"/>
      <c r="Q53" s="22"/>
      <c r="R53" s="22"/>
    </row>
    <row r="54" ht="15.0" customHeight="1">
      <c r="A54" s="11"/>
      <c r="B54" s="16"/>
      <c r="C54" s="17"/>
      <c r="D54" s="48"/>
      <c r="E54" s="11"/>
      <c r="F54" s="11"/>
      <c r="G54" s="11"/>
      <c r="H54" s="11"/>
      <c r="I54" s="11"/>
      <c r="J54" s="11"/>
      <c r="K54" s="11"/>
      <c r="L54" s="21"/>
      <c r="M54" s="11"/>
      <c r="N54" s="11"/>
      <c r="O54" s="11"/>
      <c r="P54" s="11"/>
      <c r="Q54" s="22"/>
      <c r="R54" s="22"/>
    </row>
    <row r="55" ht="15.0" customHeight="1">
      <c r="A55" s="11"/>
      <c r="B55" s="16"/>
      <c r="C55" s="17"/>
      <c r="E55" s="11"/>
      <c r="F55" s="11"/>
      <c r="G55" s="11"/>
      <c r="H55" s="11"/>
      <c r="I55" s="11"/>
      <c r="J55" s="11"/>
      <c r="K55" s="11"/>
      <c r="L55" s="21"/>
      <c r="M55" s="11"/>
      <c r="N55" s="11"/>
      <c r="O55" s="11"/>
      <c r="P55" s="11"/>
      <c r="Q55" s="22"/>
      <c r="R55" s="22"/>
    </row>
    <row r="56" ht="15.0" customHeight="1">
      <c r="A56" s="26" t="s">
        <v>193</v>
      </c>
      <c r="R56" s="45"/>
    </row>
    <row r="57" ht="15.0" customHeight="1">
      <c r="A57" s="6" t="s">
        <v>194</v>
      </c>
      <c r="B57" s="6" t="s">
        <v>195</v>
      </c>
      <c r="C57" s="3" t="s">
        <v>1</v>
      </c>
      <c r="D57" s="3" t="s">
        <v>2</v>
      </c>
      <c r="E57" s="3" t="s">
        <v>3</v>
      </c>
      <c r="F57" s="5" t="s">
        <v>196</v>
      </c>
      <c r="G57" s="3" t="s">
        <v>5</v>
      </c>
      <c r="H57" s="3" t="s">
        <v>6</v>
      </c>
      <c r="I57" s="3" t="s">
        <v>7</v>
      </c>
      <c r="J57" s="3" t="s">
        <v>8</v>
      </c>
      <c r="K57" s="3" t="s">
        <v>197</v>
      </c>
      <c r="L57" s="3" t="s">
        <v>10</v>
      </c>
      <c r="M57" s="3" t="s">
        <v>198</v>
      </c>
      <c r="N57" s="3" t="s">
        <v>199</v>
      </c>
      <c r="O57" s="3" t="s">
        <v>200</v>
      </c>
      <c r="P57" s="52"/>
      <c r="Q57" s="52"/>
      <c r="R57" s="53" t="str">
        <f>"g0v tw hackathXXn — 中場短講 — "&amp;G57&amp;" ／ "&amp;D57&amp;" — XXX黑客松"</f>
        <v>g0v tw hackathXXn — 中場短講 — 專案名稱
Project Name ／ 發表者
Presenter — XXX黑客松</v>
      </c>
    </row>
    <row r="58" ht="15.0" customHeight="1">
      <c r="A58" s="54">
        <v>1.0</v>
      </c>
      <c r="B58" s="16">
        <v>0.6388888888888888</v>
      </c>
      <c r="C58" s="17"/>
      <c r="D58" s="11" t="s">
        <v>201</v>
      </c>
      <c r="E58" s="11" t="s">
        <v>21</v>
      </c>
      <c r="F58" s="18" t="s">
        <v>22</v>
      </c>
      <c r="G58" s="55" t="s">
        <v>202</v>
      </c>
      <c r="H58" s="11" t="s">
        <v>203</v>
      </c>
      <c r="I58" s="11"/>
      <c r="J58" s="55"/>
      <c r="K58" s="56"/>
      <c r="L58" s="11"/>
      <c r="M58" s="55"/>
      <c r="N58" s="11"/>
      <c r="O58" s="11"/>
      <c r="P58" s="56"/>
      <c r="Q58" s="57"/>
      <c r="R58" s="57"/>
    </row>
    <row r="59" ht="15.0" customHeight="1">
      <c r="A59" s="54">
        <v>2.0</v>
      </c>
      <c r="B59" s="16">
        <v>0.6458333333333334</v>
      </c>
      <c r="C59" s="17"/>
      <c r="D59" s="56" t="s">
        <v>45</v>
      </c>
      <c r="E59" s="11" t="s">
        <v>21</v>
      </c>
      <c r="F59" s="18"/>
      <c r="G59" s="56" t="s">
        <v>204</v>
      </c>
      <c r="H59" s="56" t="s">
        <v>205</v>
      </c>
      <c r="I59" s="11"/>
      <c r="J59" s="58" t="s">
        <v>206</v>
      </c>
      <c r="K59" s="59" t="s">
        <v>207</v>
      </c>
      <c r="L59" s="56" t="s">
        <v>22</v>
      </c>
      <c r="M59" s="56"/>
      <c r="N59" s="11"/>
      <c r="O59" s="11"/>
      <c r="P59" s="56"/>
      <c r="Q59" s="57"/>
      <c r="R59" s="57"/>
    </row>
    <row r="60" ht="15.0" customHeight="1">
      <c r="A60" s="54">
        <v>3.0</v>
      </c>
      <c r="B60" s="16">
        <v>0.6527777777777778</v>
      </c>
      <c r="C60" s="17"/>
      <c r="D60" s="11" t="s">
        <v>169</v>
      </c>
      <c r="E60" s="11" t="s">
        <v>21</v>
      </c>
      <c r="F60" s="18" t="s">
        <v>22</v>
      </c>
      <c r="G60" s="11"/>
      <c r="H60" s="11" t="s">
        <v>208</v>
      </c>
      <c r="I60" s="11"/>
      <c r="J60" s="20" t="s">
        <v>209</v>
      </c>
      <c r="K60" s="60"/>
      <c r="L60" s="11"/>
      <c r="M60" s="55"/>
      <c r="N60" s="55"/>
      <c r="O60" s="55"/>
      <c r="P60" s="55"/>
    </row>
    <row r="61" ht="15.0" customHeight="1">
      <c r="A61" s="61">
        <v>4.0</v>
      </c>
      <c r="B61" s="16">
        <v>0.6597222222222222</v>
      </c>
      <c r="C61" s="17"/>
      <c r="D61" s="11" t="s">
        <v>210</v>
      </c>
      <c r="E61" s="11" t="s">
        <v>21</v>
      </c>
      <c r="F61" s="18"/>
      <c r="G61" s="11" t="s">
        <v>211</v>
      </c>
      <c r="H61" s="11" t="s">
        <v>212</v>
      </c>
      <c r="I61" s="11"/>
      <c r="J61" s="25"/>
      <c r="K61" s="60"/>
      <c r="L61" s="11"/>
      <c r="M61" s="55"/>
      <c r="N61" s="55"/>
      <c r="O61" s="55"/>
      <c r="P61" s="55"/>
    </row>
    <row r="62" ht="15.0" customHeight="1">
      <c r="A62" s="61">
        <v>5.0</v>
      </c>
      <c r="B62" s="16">
        <v>0.6666666666666666</v>
      </c>
      <c r="C62" s="17"/>
      <c r="D62" s="11" t="s">
        <v>139</v>
      </c>
      <c r="E62" s="11" t="s">
        <v>21</v>
      </c>
      <c r="F62" s="18"/>
      <c r="G62" s="11"/>
      <c r="H62" s="11" t="s">
        <v>213</v>
      </c>
      <c r="I62" s="11"/>
      <c r="J62" s="25"/>
      <c r="K62" s="62" t="s">
        <v>214</v>
      </c>
      <c r="L62" s="11"/>
      <c r="M62" s="55"/>
      <c r="N62" s="55"/>
      <c r="O62" s="55"/>
      <c r="P62" s="55"/>
    </row>
    <row r="63" ht="15.0" customHeight="1">
      <c r="A63" s="63"/>
      <c r="B63" s="64"/>
      <c r="C63" s="65"/>
      <c r="D63" s="66" t="s">
        <v>143</v>
      </c>
      <c r="E63" s="64"/>
      <c r="F63" s="65"/>
      <c r="G63" s="67"/>
      <c r="H63" s="67"/>
      <c r="I63" s="63"/>
      <c r="J63" s="63"/>
      <c r="K63" s="63"/>
      <c r="L63" s="63"/>
      <c r="M63" s="63"/>
      <c r="N63" s="63"/>
      <c r="O63" s="63"/>
      <c r="P63" s="67"/>
      <c r="Q63" s="63"/>
      <c r="R63" s="63"/>
    </row>
    <row r="64" ht="15.0" customHeight="1">
      <c r="A64" s="22"/>
      <c r="B64" s="17"/>
      <c r="C64" s="68"/>
      <c r="D64" s="11"/>
      <c r="E64" s="22"/>
      <c r="F64" s="69"/>
      <c r="G64" s="22"/>
      <c r="H64" s="11"/>
      <c r="I64" s="22"/>
      <c r="J64" s="22"/>
      <c r="K64" s="22"/>
      <c r="L64" s="22"/>
      <c r="M64" s="22"/>
      <c r="N64" s="22"/>
      <c r="O64" s="22"/>
      <c r="P64" s="22"/>
      <c r="Q64" s="22"/>
      <c r="R64" s="22"/>
    </row>
    <row r="65" ht="15.0" customHeight="1">
      <c r="A65" s="22"/>
      <c r="B65" s="68"/>
      <c r="C65" s="68"/>
      <c r="D65" s="22"/>
      <c r="E65" s="22"/>
      <c r="F65" s="69"/>
      <c r="G65" s="22"/>
      <c r="H65" s="22"/>
      <c r="I65" s="22"/>
      <c r="J65" s="22"/>
      <c r="K65" s="22"/>
      <c r="L65" s="22"/>
      <c r="M65" s="22"/>
      <c r="N65" s="22"/>
      <c r="O65" s="22"/>
      <c r="P65" s="22"/>
      <c r="Q65" s="22"/>
      <c r="R65" s="22"/>
    </row>
    <row r="66" ht="15.0" customHeight="1">
      <c r="A66" s="26" t="s">
        <v>215</v>
      </c>
      <c r="R66" s="45"/>
    </row>
    <row r="67" ht="15.0" customHeight="1">
      <c r="A67" s="70">
        <v>1.0</v>
      </c>
      <c r="B67" s="71">
        <v>0.6875</v>
      </c>
      <c r="C67" s="17"/>
      <c r="D67" s="11" t="s">
        <v>216</v>
      </c>
      <c r="E67" s="11" t="s">
        <v>21</v>
      </c>
      <c r="F67" s="18" t="s">
        <v>51</v>
      </c>
      <c r="G67" s="11" t="s">
        <v>57</v>
      </c>
      <c r="H67" s="11" t="s">
        <v>58</v>
      </c>
      <c r="I67" s="32" t="s">
        <v>48</v>
      </c>
      <c r="J67" s="72"/>
      <c r="K67" s="20" t="s">
        <v>217</v>
      </c>
      <c r="L67" s="11"/>
      <c r="M67" s="11"/>
      <c r="N67" s="11"/>
      <c r="O67" s="11"/>
      <c r="P67" s="11"/>
      <c r="Q67" s="11"/>
      <c r="R67" s="53" t="str">
        <f>"g0v tw hackathXXn — 成果報告 — "&amp;G67&amp;" ／ "&amp;D67&amp;" — XXX黑客松"</f>
        <v>g0v tw hackathXXn — 成果報告 — The Cone Club ／ caleb — XXX黑客松</v>
      </c>
    </row>
    <row r="68" ht="15.0" customHeight="1">
      <c r="A68" s="70">
        <v>2.0</v>
      </c>
      <c r="B68" s="71">
        <v>0.6909722222222222</v>
      </c>
      <c r="C68" s="17"/>
      <c r="D68" s="11" t="s">
        <v>161</v>
      </c>
      <c r="E68" s="11" t="s">
        <v>21</v>
      </c>
      <c r="F68" s="18" t="s">
        <v>51</v>
      </c>
      <c r="G68" s="73" t="s">
        <v>218</v>
      </c>
      <c r="H68" s="73" t="s">
        <v>219</v>
      </c>
      <c r="I68" s="32" t="s">
        <v>48</v>
      </c>
      <c r="J68" s="20" t="s">
        <v>220</v>
      </c>
      <c r="K68" s="39" t="s">
        <v>221</v>
      </c>
      <c r="L68" s="11" t="s">
        <v>22</v>
      </c>
      <c r="M68" s="11"/>
      <c r="N68" s="11" t="s">
        <v>222</v>
      </c>
      <c r="O68" s="74" t="s">
        <v>223</v>
      </c>
      <c r="P68" s="11"/>
      <c r="Q68" s="22"/>
      <c r="R68" s="22"/>
    </row>
    <row r="69" ht="15.0" customHeight="1">
      <c r="A69" s="70">
        <v>3.0</v>
      </c>
      <c r="B69" s="71">
        <v>0.6944444444444444</v>
      </c>
      <c r="C69" s="17"/>
      <c r="D69" s="11" t="s">
        <v>224</v>
      </c>
      <c r="E69" s="11" t="s">
        <v>21</v>
      </c>
      <c r="F69" s="18" t="s">
        <v>22</v>
      </c>
      <c r="G69" s="11" t="s">
        <v>46</v>
      </c>
      <c r="H69" s="11" t="s">
        <v>47</v>
      </c>
      <c r="I69" s="32" t="s">
        <v>48</v>
      </c>
      <c r="J69" s="39" t="s">
        <v>49</v>
      </c>
      <c r="K69" s="39" t="s">
        <v>50</v>
      </c>
      <c r="L69" s="11" t="s">
        <v>225</v>
      </c>
      <c r="M69" s="75"/>
      <c r="N69" s="75"/>
      <c r="O69" s="75"/>
      <c r="P69" s="11"/>
      <c r="Q69" s="22"/>
      <c r="R69" s="22"/>
    </row>
    <row r="70" ht="15.0" customHeight="1">
      <c r="A70" s="70">
        <v>4.0</v>
      </c>
      <c r="B70" s="71">
        <v>0.6979166666666666</v>
      </c>
      <c r="C70" s="17"/>
      <c r="D70" s="55" t="s">
        <v>153</v>
      </c>
      <c r="E70" s="11" t="s">
        <v>21</v>
      </c>
      <c r="F70" s="18" t="s">
        <v>22</v>
      </c>
      <c r="G70" s="11" t="s">
        <v>154</v>
      </c>
      <c r="H70" s="11" t="s">
        <v>155</v>
      </c>
      <c r="I70" s="11" t="s">
        <v>156</v>
      </c>
      <c r="J70" s="11"/>
      <c r="K70" s="20" t="s">
        <v>157</v>
      </c>
      <c r="L70" s="11"/>
      <c r="M70" s="11"/>
      <c r="N70" s="11"/>
      <c r="O70" s="11"/>
      <c r="P70" s="11"/>
      <c r="Q70" s="22"/>
      <c r="R70" s="22"/>
    </row>
    <row r="71" ht="15.0" customHeight="1">
      <c r="A71" s="70">
        <v>5.0</v>
      </c>
      <c r="B71" s="71">
        <v>0.7013888888888888</v>
      </c>
      <c r="C71" s="17"/>
      <c r="D71" s="11" t="s">
        <v>169</v>
      </c>
      <c r="E71" s="11" t="s">
        <v>21</v>
      </c>
      <c r="F71" s="18"/>
      <c r="G71" s="11" t="s">
        <v>170</v>
      </c>
      <c r="H71" s="11" t="s">
        <v>170</v>
      </c>
      <c r="I71" s="11"/>
      <c r="J71" s="39" t="s">
        <v>171</v>
      </c>
      <c r="K71" s="20" t="s">
        <v>226</v>
      </c>
      <c r="L71" s="11" t="s">
        <v>22</v>
      </c>
      <c r="M71" s="76"/>
      <c r="N71" s="11"/>
      <c r="O71" s="11"/>
      <c r="P71" s="11"/>
      <c r="Q71" s="22"/>
      <c r="R71" s="22"/>
    </row>
    <row r="72" ht="15.0" customHeight="1">
      <c r="A72" s="70">
        <v>6.0</v>
      </c>
      <c r="B72" s="71">
        <v>0.7048611111111112</v>
      </c>
      <c r="C72" s="17"/>
      <c r="D72" s="11" t="s">
        <v>227</v>
      </c>
      <c r="E72" s="11" t="s">
        <v>21</v>
      </c>
      <c r="F72" s="18" t="s">
        <v>22</v>
      </c>
      <c r="G72" s="11" t="s">
        <v>80</v>
      </c>
      <c r="H72" s="11" t="s">
        <v>81</v>
      </c>
      <c r="I72" s="11" t="s">
        <v>32</v>
      </c>
      <c r="J72" s="59" t="s">
        <v>228</v>
      </c>
      <c r="K72" s="77"/>
      <c r="L72" s="11" t="s">
        <v>22</v>
      </c>
      <c r="M72" s="22"/>
      <c r="N72" s="22"/>
      <c r="O72" s="22"/>
      <c r="P72" s="22"/>
      <c r="Q72" s="22"/>
      <c r="R72" s="22"/>
    </row>
    <row r="73" ht="15.0" customHeight="1">
      <c r="A73" s="70">
        <v>7.0</v>
      </c>
      <c r="B73" s="71">
        <v>0.7083333333333334</v>
      </c>
      <c r="C73" s="17"/>
      <c r="D73" s="11" t="s">
        <v>229</v>
      </c>
      <c r="E73" s="11" t="s">
        <v>21</v>
      </c>
      <c r="F73" s="18" t="s">
        <v>22</v>
      </c>
      <c r="G73" s="73" t="s">
        <v>230</v>
      </c>
      <c r="H73" s="73" t="s">
        <v>231</v>
      </c>
      <c r="I73" s="32"/>
      <c r="J73" s="20" t="s">
        <v>232</v>
      </c>
      <c r="K73" s="20" t="s">
        <v>233</v>
      </c>
      <c r="L73" s="11" t="s">
        <v>22</v>
      </c>
      <c r="M73" s="11"/>
      <c r="N73" s="11"/>
      <c r="O73" s="78"/>
      <c r="P73" s="11"/>
      <c r="Q73" s="11"/>
      <c r="R73" s="11"/>
    </row>
    <row r="74" ht="15.0" customHeight="1">
      <c r="A74" s="70">
        <v>8.0</v>
      </c>
      <c r="B74" s="71">
        <v>0.7118055555555556</v>
      </c>
      <c r="C74" s="17"/>
      <c r="D74" s="11" t="s">
        <v>234</v>
      </c>
      <c r="E74" s="11" t="s">
        <v>21</v>
      </c>
      <c r="F74" s="18" t="s">
        <v>22</v>
      </c>
      <c r="G74" s="55" t="s">
        <v>235</v>
      </c>
      <c r="H74" s="55" t="s">
        <v>236</v>
      </c>
      <c r="I74" s="32" t="s">
        <v>48</v>
      </c>
      <c r="J74" s="59" t="s">
        <v>237</v>
      </c>
      <c r="K74" s="11"/>
      <c r="L74" s="11" t="s">
        <v>22</v>
      </c>
      <c r="M74" s="11"/>
      <c r="N74" s="11"/>
      <c r="O74" s="78"/>
      <c r="P74" s="11"/>
      <c r="Q74" s="11"/>
      <c r="R74" s="11"/>
    </row>
    <row r="75" ht="15.0" customHeight="1">
      <c r="A75" s="70">
        <v>9.0</v>
      </c>
      <c r="B75" s="71">
        <v>0.7152777777777778</v>
      </c>
      <c r="C75" s="17"/>
      <c r="D75" s="11" t="s">
        <v>238</v>
      </c>
      <c r="E75" s="11" t="s">
        <v>21</v>
      </c>
      <c r="F75" s="18"/>
      <c r="G75" s="11"/>
      <c r="H75" s="11"/>
      <c r="I75" s="32"/>
      <c r="J75" s="72"/>
      <c r="K75" s="79"/>
      <c r="L75" s="11"/>
      <c r="M75" s="11"/>
      <c r="N75" s="11"/>
      <c r="O75" s="11"/>
      <c r="P75" s="11"/>
      <c r="Q75" s="11"/>
      <c r="R75" s="11"/>
    </row>
    <row r="76" ht="15.0" customHeight="1">
      <c r="A76" s="11">
        <v>10.0</v>
      </c>
      <c r="B76" s="71">
        <v>0.71875</v>
      </c>
      <c r="C76" s="17"/>
      <c r="D76" s="11" t="s">
        <v>169</v>
      </c>
      <c r="E76" s="11" t="s">
        <v>21</v>
      </c>
      <c r="F76" s="18"/>
      <c r="G76" s="11" t="s">
        <v>239</v>
      </c>
      <c r="H76" s="11" t="s">
        <v>239</v>
      </c>
      <c r="I76" s="32"/>
      <c r="J76" s="80" t="s">
        <v>240</v>
      </c>
      <c r="K76" s="79"/>
      <c r="L76" s="11"/>
      <c r="M76" s="11"/>
      <c r="N76" s="11"/>
      <c r="O76" s="11"/>
      <c r="P76" s="11"/>
      <c r="Q76" s="11"/>
      <c r="R76" s="11"/>
    </row>
    <row r="77" ht="15.0" customHeight="1">
      <c r="A77" s="11">
        <v>11.0</v>
      </c>
      <c r="B77" s="81">
        <v>0.7222222222222222</v>
      </c>
      <c r="C77" s="17"/>
      <c r="D77" s="11" t="s">
        <v>241</v>
      </c>
      <c r="E77" s="11" t="s">
        <v>21</v>
      </c>
      <c r="F77" s="18"/>
      <c r="G77" s="11"/>
      <c r="H77" s="11" t="s">
        <v>242</v>
      </c>
      <c r="I77" s="32"/>
      <c r="J77" s="80" t="s">
        <v>243</v>
      </c>
      <c r="K77" s="79"/>
      <c r="L77" s="11"/>
      <c r="M77" s="11"/>
      <c r="N77" s="11"/>
      <c r="O77" s="11"/>
      <c r="P77" s="11"/>
      <c r="Q77" s="11"/>
      <c r="R77" s="11"/>
    </row>
    <row r="78" ht="15.0" customHeight="1">
      <c r="A78" s="70"/>
      <c r="B78" s="71"/>
      <c r="C78" s="68"/>
      <c r="D78" s="11" t="s">
        <v>244</v>
      </c>
      <c r="E78" s="11" t="s">
        <v>21</v>
      </c>
      <c r="F78" s="18"/>
      <c r="G78" s="11" t="s">
        <v>245</v>
      </c>
      <c r="H78" s="11" t="s">
        <v>246</v>
      </c>
      <c r="I78" s="32"/>
      <c r="J78" s="80" t="s">
        <v>247</v>
      </c>
      <c r="K78" s="11"/>
      <c r="L78" s="11"/>
      <c r="M78" s="11"/>
      <c r="N78" s="11"/>
      <c r="O78" s="11"/>
      <c r="P78" s="11"/>
      <c r="Q78" s="22"/>
      <c r="R78" s="22"/>
    </row>
    <row r="79" ht="15.0" customHeight="1">
      <c r="A79" s="70"/>
      <c r="B79" s="71"/>
      <c r="C79" s="68"/>
      <c r="D79" s="11"/>
      <c r="E79" s="11"/>
      <c r="F79" s="18"/>
      <c r="G79" s="11"/>
      <c r="H79" s="11"/>
      <c r="I79" s="32"/>
      <c r="J79" s="80" t="s">
        <v>248</v>
      </c>
      <c r="K79" s="11"/>
      <c r="L79" s="11"/>
      <c r="M79" s="11"/>
      <c r="N79" s="11"/>
      <c r="O79" s="11"/>
      <c r="P79" s="11"/>
      <c r="Q79" s="22"/>
      <c r="R79" s="22"/>
    </row>
    <row r="80" ht="15.0" customHeight="1">
      <c r="A80" s="70"/>
      <c r="B80" s="71"/>
      <c r="C80" s="68"/>
      <c r="D80" s="11"/>
      <c r="E80" s="11"/>
      <c r="F80" s="18"/>
      <c r="G80" s="11"/>
      <c r="H80" s="11"/>
      <c r="I80" s="32"/>
      <c r="J80" s="55"/>
      <c r="K80" s="11"/>
      <c r="L80" s="11"/>
      <c r="M80" s="11"/>
      <c r="N80" s="11"/>
      <c r="O80" s="11"/>
      <c r="P80" s="11"/>
      <c r="Q80" s="22"/>
      <c r="R80" s="22"/>
    </row>
    <row r="81" ht="15.0" customHeight="1">
      <c r="A81" s="26" t="s">
        <v>249</v>
      </c>
      <c r="R81" s="82"/>
    </row>
    <row r="82" ht="15.0" customHeight="1">
      <c r="A82" s="82"/>
      <c r="B82" s="83"/>
      <c r="C82" s="83"/>
      <c r="D82" s="84"/>
      <c r="E82" s="84"/>
      <c r="F82" s="82"/>
      <c r="G82" s="82"/>
      <c r="H82" s="82"/>
      <c r="I82" s="82"/>
      <c r="J82" s="82"/>
      <c r="K82" s="82"/>
      <c r="L82" s="82"/>
      <c r="M82" s="82"/>
      <c r="N82" s="82"/>
      <c r="O82" s="82"/>
      <c r="P82" s="82"/>
      <c r="Q82" s="82"/>
      <c r="R82" s="82"/>
    </row>
  </sheetData>
  <mergeCells count="14">
    <mergeCell ref="A36:Q36"/>
    <mergeCell ref="A43:Q43"/>
    <mergeCell ref="A46:Q46"/>
    <mergeCell ref="A52:Q52"/>
    <mergeCell ref="A56:Q56"/>
    <mergeCell ref="A66:Q66"/>
    <mergeCell ref="A81:Q81"/>
    <mergeCell ref="A1:N1"/>
    <mergeCell ref="A3:Q3"/>
    <mergeCell ref="A5:Q5"/>
    <mergeCell ref="A8:Q8"/>
    <mergeCell ref="A9:N9"/>
    <mergeCell ref="A31:Q31"/>
    <mergeCell ref="A33:Q33"/>
  </mergeCells>
  <dataValidations>
    <dataValidation type="list" allowBlank="1" sqref="E6:E7 E10:E24 E58:E62 E67:E80">
      <formula1>"in person 實體出席,pre-recorded videos 預錄影片"</formula1>
    </dataValidation>
  </dataValidations>
  <hyperlinks>
    <hyperlink r:id="rId1" ref="K6"/>
    <hyperlink r:id="rId2" location="slide=id.p" ref="J10"/>
    <hyperlink r:id="rId3" ref="K10"/>
    <hyperlink r:id="rId4" ref="J11"/>
    <hyperlink r:id="rId5" ref="K11"/>
    <hyperlink r:id="rId6" ref="J12"/>
    <hyperlink r:id="rId7" ref="K12"/>
    <hyperlink r:id="rId8" ref="J13"/>
    <hyperlink r:id="rId9" ref="P13"/>
    <hyperlink r:id="rId10" ref="J14"/>
    <hyperlink r:id="rId11" ref="K14"/>
    <hyperlink r:id="rId12" ref="J15"/>
    <hyperlink r:id="rId13" ref="K15"/>
    <hyperlink r:id="rId14" ref="J16"/>
    <hyperlink r:id="rId15" ref="K16"/>
    <hyperlink r:id="rId16" ref="J17"/>
    <hyperlink r:id="rId17" location="/" ref="K17"/>
    <hyperlink r:id="rId18" ref="J19"/>
    <hyperlink r:id="rId19" location="slide=id.g1355b4bfa31_0_134" ref="K19"/>
    <hyperlink r:id="rId20" ref="H20"/>
    <hyperlink r:id="rId21" ref="K20"/>
    <hyperlink r:id="rId22" ref="K21"/>
    <hyperlink r:id="rId23" ref="H22"/>
    <hyperlink r:id="rId24" ref="J22"/>
    <hyperlink r:id="rId25" ref="K22"/>
    <hyperlink r:id="rId26" ref="P22"/>
    <hyperlink r:id="rId27" ref="J23"/>
    <hyperlink r:id="rId28" ref="K23"/>
    <hyperlink r:id="rId29" ref="J24"/>
    <hyperlink r:id="rId30" ref="K24"/>
    <hyperlink r:id="rId31" ref="K26"/>
    <hyperlink r:id="rId32" ref="K27"/>
    <hyperlink r:id="rId33" ref="J28"/>
    <hyperlink r:id="rId34" ref="K28"/>
    <hyperlink r:id="rId35" ref="K29"/>
    <hyperlink r:id="rId36" ref="O29"/>
    <hyperlink r:id="rId37" ref="J30"/>
    <hyperlink r:id="rId38" location="slide=id.p" ref="K30"/>
    <hyperlink r:id="rId39" ref="D37"/>
    <hyperlink r:id="rId40" ref="E44"/>
    <hyperlink r:id="rId41" ref="E45"/>
    <hyperlink r:id="rId42" ref="D49"/>
    <hyperlink r:id="rId43" ref="J59"/>
    <hyperlink r:id="rId44" ref="K59"/>
    <hyperlink r:id="rId45" ref="J60"/>
    <hyperlink r:id="rId46" location="slide=id.g338fea147b6_1_12" ref="K62"/>
    <hyperlink r:id="rId47" ref="K67"/>
    <hyperlink r:id="rId48" ref="J68"/>
    <hyperlink r:id="rId49" ref="K68"/>
    <hyperlink r:id="rId50" location="eu/DTsSnbEbkjPbR4-u5Myq3xSOwKOej3v0Tz5Rtr77ag38nkSjmKJHxofZCoPXpL6K" ref="O68"/>
    <hyperlink r:id="rId51" ref="J69"/>
    <hyperlink r:id="rId52" ref="K69"/>
    <hyperlink r:id="rId53" ref="K70"/>
    <hyperlink r:id="rId54" ref="J71"/>
    <hyperlink r:id="rId55" location="slide=id.g338fefa1808_0_7" ref="K71"/>
    <hyperlink r:id="rId56" ref="J72"/>
    <hyperlink r:id="rId57" location="gid=0" ref="J73"/>
    <hyperlink r:id="rId58" ref="K73"/>
    <hyperlink r:id="rId59" ref="J74"/>
    <hyperlink r:id="rId60" ref="J76"/>
    <hyperlink r:id="rId61" ref="J77"/>
    <hyperlink r:id="rId62" ref="J78"/>
    <hyperlink r:id="rId63" ref="J79"/>
  </hyperlinks>
  <printOptions gridLines="1" horizontalCentered="1"/>
  <pageMargins bottom="0.75" footer="0.0" header="0.0" left="0.7" right="0.7" top="0.75"/>
  <pageSetup fitToHeight="0" paperSize="8" cellComments="atEnd" orientation="landscape" pageOrder="overThenDown"/>
  <drawing r:id="rId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3" width="8.75"/>
    <col customWidth="1" min="4" max="4" width="15.0"/>
    <col customWidth="1" min="5" max="17" width="8.75"/>
  </cols>
  <sheetData>
    <row r="1" ht="13.5" customHeight="1">
      <c r="A1" s="85"/>
      <c r="B1" s="85"/>
      <c r="C1" s="85"/>
      <c r="D1" s="85"/>
      <c r="E1" s="86"/>
      <c r="F1" s="86"/>
      <c r="G1" s="86"/>
      <c r="H1" s="86"/>
      <c r="I1" s="86"/>
      <c r="J1" s="86"/>
      <c r="K1" s="86"/>
      <c r="L1" s="86"/>
      <c r="M1" s="86"/>
      <c r="N1" s="86"/>
      <c r="O1" s="85"/>
      <c r="P1" s="85"/>
      <c r="Q1" s="85"/>
    </row>
    <row r="2" ht="33.0" customHeight="1">
      <c r="A2" s="85"/>
      <c r="B2" s="85"/>
      <c r="C2" s="85"/>
      <c r="D2" s="85"/>
      <c r="E2" s="87" t="s">
        <v>250</v>
      </c>
      <c r="F2" s="88"/>
      <c r="G2" s="88"/>
      <c r="H2" s="88"/>
      <c r="I2" s="88"/>
      <c r="J2" s="88"/>
      <c r="K2" s="88"/>
      <c r="L2" s="88"/>
      <c r="M2" s="88"/>
      <c r="N2" s="89"/>
      <c r="O2" s="85"/>
      <c r="P2" s="85"/>
      <c r="Q2" s="85"/>
    </row>
    <row r="3" ht="33.0" customHeight="1">
      <c r="A3" s="85"/>
      <c r="B3" s="85"/>
      <c r="C3" s="85"/>
      <c r="D3" s="85"/>
      <c r="E3" s="90"/>
      <c r="N3" s="91"/>
      <c r="O3" s="85"/>
      <c r="P3" s="85"/>
      <c r="Q3" s="85"/>
    </row>
    <row r="4" ht="33.0" customHeight="1">
      <c r="A4" s="85"/>
      <c r="B4" s="92" t="s">
        <v>251</v>
      </c>
      <c r="D4" s="85"/>
      <c r="E4" s="90"/>
      <c r="N4" s="91"/>
      <c r="O4" s="85"/>
      <c r="P4" s="85"/>
      <c r="Q4" s="85"/>
    </row>
    <row r="5" ht="33.0" customHeight="1">
      <c r="A5" s="85"/>
      <c r="D5" s="85"/>
      <c r="E5" s="90"/>
      <c r="N5" s="91"/>
      <c r="O5" s="85"/>
      <c r="P5" s="85"/>
      <c r="Q5" s="85"/>
    </row>
    <row r="6" ht="33.0" customHeight="1">
      <c r="A6" s="85"/>
      <c r="D6" s="85"/>
      <c r="E6" s="93"/>
      <c r="F6" s="94"/>
      <c r="G6" s="94"/>
      <c r="H6" s="94"/>
      <c r="I6" s="94"/>
      <c r="J6" s="94"/>
      <c r="K6" s="94"/>
      <c r="L6" s="94"/>
      <c r="M6" s="94"/>
      <c r="N6" s="95"/>
      <c r="O6" s="85"/>
      <c r="P6" s="85"/>
      <c r="Q6" s="85"/>
    </row>
    <row r="7" ht="33.0" customHeight="1">
      <c r="A7" s="85"/>
      <c r="B7" s="96" t="s">
        <v>252</v>
      </c>
      <c r="O7" s="85"/>
      <c r="P7" s="85"/>
      <c r="Q7" s="85"/>
    </row>
    <row r="8" ht="54.0" customHeight="1">
      <c r="A8" s="85"/>
      <c r="B8" s="85"/>
      <c r="C8" s="85"/>
      <c r="D8" s="97" t="s">
        <v>253</v>
      </c>
      <c r="E8" s="98" t="s">
        <v>254</v>
      </c>
      <c r="I8" s="96" t="s">
        <v>255</v>
      </c>
      <c r="J8" s="99" t="s">
        <v>256</v>
      </c>
      <c r="K8" s="100" t="s">
        <v>257</v>
      </c>
      <c r="O8" s="101"/>
      <c r="P8" s="85"/>
      <c r="Q8" s="85"/>
    </row>
    <row r="9" ht="33.0" customHeight="1">
      <c r="A9" s="85"/>
      <c r="B9" s="85"/>
      <c r="C9" s="85"/>
      <c r="D9" s="85"/>
      <c r="O9" s="101"/>
      <c r="P9" s="86"/>
      <c r="Q9" s="85"/>
    </row>
    <row r="10" ht="33.0" customHeight="1">
      <c r="A10" s="102"/>
      <c r="B10" s="102"/>
      <c r="C10" s="102"/>
      <c r="D10" s="102"/>
      <c r="O10" s="101"/>
      <c r="P10" s="102"/>
      <c r="Q10" s="102"/>
    </row>
    <row r="11" ht="33.0" customHeight="1">
      <c r="A11" s="85"/>
      <c r="B11" s="85"/>
      <c r="C11" s="85"/>
      <c r="D11" s="85"/>
      <c r="E11" s="85"/>
      <c r="F11" s="85"/>
      <c r="G11" s="85"/>
      <c r="H11" s="103" t="s">
        <v>258</v>
      </c>
      <c r="J11" s="103" t="s">
        <v>258</v>
      </c>
      <c r="O11" s="101"/>
      <c r="P11" s="85"/>
      <c r="Q11" s="85"/>
    </row>
    <row r="12" ht="33.0" customHeight="1">
      <c r="A12" s="85"/>
      <c r="B12" s="104" t="s">
        <v>259</v>
      </c>
      <c r="D12" s="85"/>
      <c r="E12" s="85"/>
      <c r="F12" s="85"/>
      <c r="G12" s="85"/>
      <c r="O12" s="101"/>
      <c r="P12" s="85"/>
      <c r="Q12" s="85"/>
    </row>
    <row r="13" ht="33.0" customHeight="1">
      <c r="A13" s="85"/>
      <c r="D13" s="85"/>
      <c r="E13" s="85"/>
      <c r="F13" s="85"/>
      <c r="G13" s="85"/>
      <c r="K13" s="101"/>
      <c r="L13" s="101"/>
      <c r="M13" s="85"/>
      <c r="N13" s="85"/>
      <c r="O13" s="85"/>
      <c r="P13" s="85"/>
      <c r="Q13" s="85"/>
    </row>
    <row r="14" ht="33.0" customHeight="1">
      <c r="A14" s="85"/>
      <c r="D14" s="85"/>
      <c r="E14" s="85"/>
      <c r="F14" s="85"/>
      <c r="G14" s="85"/>
      <c r="K14" s="101"/>
      <c r="L14" s="101"/>
      <c r="M14" s="85"/>
      <c r="N14" s="85"/>
      <c r="O14" s="85"/>
      <c r="P14" s="85"/>
      <c r="Q14" s="85"/>
    </row>
    <row r="15" ht="33.0" customHeight="1">
      <c r="A15" s="85"/>
      <c r="B15" s="105"/>
      <c r="C15" s="106" t="s">
        <v>260</v>
      </c>
      <c r="D15" s="106" t="s">
        <v>260</v>
      </c>
      <c r="E15" s="106" t="s">
        <v>260</v>
      </c>
      <c r="F15" s="106" t="s">
        <v>260</v>
      </c>
      <c r="G15" s="106" t="s">
        <v>260</v>
      </c>
      <c r="H15" s="106" t="s">
        <v>260</v>
      </c>
      <c r="I15" s="107" t="s">
        <v>261</v>
      </c>
      <c r="J15" s="108"/>
      <c r="K15" s="22"/>
      <c r="L15" s="85"/>
      <c r="M15" s="85"/>
      <c r="N15" s="85"/>
      <c r="O15" s="85"/>
      <c r="P15" s="86"/>
      <c r="Q15" s="85"/>
    </row>
    <row r="16" ht="33.0" customHeight="1">
      <c r="A16" s="85"/>
      <c r="B16" s="85"/>
      <c r="C16" s="85"/>
      <c r="D16" s="85"/>
      <c r="E16" s="85"/>
      <c r="F16" s="85"/>
      <c r="G16" s="85"/>
      <c r="H16" s="85"/>
      <c r="I16" s="85"/>
      <c r="J16" s="85"/>
      <c r="K16" s="85"/>
      <c r="L16" s="85"/>
      <c r="M16" s="85"/>
      <c r="N16" s="85"/>
      <c r="O16" s="85"/>
      <c r="P16" s="85"/>
      <c r="Q16" s="85"/>
    </row>
  </sheetData>
  <mergeCells count="10">
    <mergeCell ref="J8:J10"/>
    <mergeCell ref="J11:J14"/>
    <mergeCell ref="E2:N6"/>
    <mergeCell ref="B4:C6"/>
    <mergeCell ref="B7:N7"/>
    <mergeCell ref="E8:H10"/>
    <mergeCell ref="I8:I14"/>
    <mergeCell ref="K8:N12"/>
    <mergeCell ref="H11:H14"/>
    <mergeCell ref="B12:C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35.88"/>
    <col customWidth="1" min="2" max="3" width="11.75"/>
    <col customWidth="1" min="4" max="4" width="42.5"/>
    <col customWidth="1" min="5" max="5" width="28.63"/>
    <col customWidth="1" min="6" max="6" width="59.63"/>
    <col customWidth="1" min="7" max="7" width="41.75"/>
  </cols>
  <sheetData>
    <row r="1" ht="32.25" customHeight="1">
      <c r="A1" s="109" t="s">
        <v>262</v>
      </c>
    </row>
    <row r="2" ht="67.5" customHeight="1">
      <c r="A2" s="110" t="s">
        <v>263</v>
      </c>
    </row>
    <row r="3" ht="32.25" customHeight="1">
      <c r="A3" s="111"/>
      <c r="B3" s="112" t="s">
        <v>264</v>
      </c>
      <c r="C3" s="112" t="s">
        <v>265</v>
      </c>
      <c r="D3" s="112" t="s">
        <v>266</v>
      </c>
      <c r="F3" s="112" t="s">
        <v>267</v>
      </c>
      <c r="G3" s="113"/>
    </row>
    <row r="4" ht="44.25" customHeight="1">
      <c r="A4" s="114" t="s">
        <v>268</v>
      </c>
      <c r="B4" s="112" t="s">
        <v>269</v>
      </c>
      <c r="D4" s="112" t="s">
        <v>269</v>
      </c>
    </row>
    <row r="5" ht="85.5" customHeight="1">
      <c r="D5" s="115" t="s">
        <v>270</v>
      </c>
      <c r="E5" s="116" t="s">
        <v>271</v>
      </c>
      <c r="G5" s="116" t="s">
        <v>272</v>
      </c>
    </row>
    <row r="6" ht="44.25" customHeight="1">
      <c r="D6" s="112" t="s">
        <v>269</v>
      </c>
    </row>
    <row r="7" ht="32.25" customHeight="1">
      <c r="A7" s="111"/>
      <c r="D7" s="117"/>
      <c r="E7" s="117"/>
      <c r="F7" s="117"/>
      <c r="G7" s="118"/>
    </row>
    <row r="8" ht="32.25" customHeight="1">
      <c r="D8" s="119" t="s">
        <v>273</v>
      </c>
      <c r="E8" s="119" t="s">
        <v>274</v>
      </c>
      <c r="F8" s="119" t="s">
        <v>275</v>
      </c>
      <c r="G8" s="120" t="s">
        <v>276</v>
      </c>
    </row>
    <row r="9" ht="32.25" customHeight="1">
      <c r="A9" s="121"/>
      <c r="B9" s="122"/>
      <c r="C9" s="122"/>
      <c r="D9" s="122"/>
      <c r="E9" s="122"/>
      <c r="F9" s="122"/>
      <c r="G9" s="122"/>
    </row>
    <row r="10" ht="67.5" customHeight="1">
      <c r="A10" s="123" t="s">
        <v>277</v>
      </c>
    </row>
    <row r="11" ht="32.25" customHeight="1">
      <c r="A11" s="124"/>
      <c r="B11" s="125" t="s">
        <v>264</v>
      </c>
      <c r="C11" s="125" t="s">
        <v>265</v>
      </c>
      <c r="D11" s="125" t="s">
        <v>266</v>
      </c>
      <c r="F11" s="125" t="s">
        <v>267</v>
      </c>
      <c r="G11" s="126"/>
    </row>
    <row r="12" ht="28.5" customHeight="1">
      <c r="A12" s="114" t="s">
        <v>278</v>
      </c>
      <c r="B12" s="125" t="s">
        <v>269</v>
      </c>
      <c r="D12" s="125" t="s">
        <v>269</v>
      </c>
    </row>
    <row r="13">
      <c r="D13" s="127" t="s">
        <v>279</v>
      </c>
      <c r="E13" s="127" t="s">
        <v>280</v>
      </c>
      <c r="G13" s="127" t="s">
        <v>281</v>
      </c>
    </row>
    <row r="14" ht="30.0" customHeight="1">
      <c r="D14" s="125" t="s">
        <v>269</v>
      </c>
    </row>
    <row r="15">
      <c r="A15" s="124"/>
      <c r="D15" s="128" t="s">
        <v>282</v>
      </c>
      <c r="E15" s="129" t="s">
        <v>283</v>
      </c>
      <c r="F15" s="129" t="s">
        <v>284</v>
      </c>
      <c r="G15" s="129" t="s">
        <v>285</v>
      </c>
    </row>
    <row r="16">
      <c r="D16" s="130" t="s">
        <v>273</v>
      </c>
      <c r="E16" s="130" t="s">
        <v>274</v>
      </c>
      <c r="F16" s="130" t="s">
        <v>275</v>
      </c>
      <c r="G16" s="130" t="s">
        <v>276</v>
      </c>
    </row>
    <row r="17" ht="32.25" customHeight="1">
      <c r="A17" s="121"/>
      <c r="B17" s="122"/>
      <c r="C17" s="122"/>
      <c r="D17" s="122"/>
      <c r="E17" s="122"/>
      <c r="F17" s="122"/>
      <c r="G17" s="122"/>
    </row>
    <row r="18" ht="67.5" customHeight="1">
      <c r="A18" s="131" t="s">
        <v>286</v>
      </c>
    </row>
    <row r="19" ht="32.25" customHeight="1">
      <c r="A19" s="124"/>
      <c r="B19" s="125" t="s">
        <v>264</v>
      </c>
      <c r="C19" s="125" t="s">
        <v>265</v>
      </c>
      <c r="D19" s="125" t="s">
        <v>266</v>
      </c>
      <c r="F19" s="125" t="s">
        <v>267</v>
      </c>
      <c r="G19" s="126"/>
    </row>
    <row r="20" ht="32.25" customHeight="1">
      <c r="A20" s="114" t="s">
        <v>287</v>
      </c>
      <c r="B20" s="125" t="s">
        <v>269</v>
      </c>
      <c r="D20" s="125" t="s">
        <v>269</v>
      </c>
    </row>
    <row r="21" ht="115.5" customHeight="1">
      <c r="D21" s="127"/>
      <c r="E21" s="47" t="s">
        <v>288</v>
      </c>
      <c r="G21" s="127"/>
    </row>
    <row r="22" ht="32.25" customHeight="1">
      <c r="D22" s="125" t="s">
        <v>269</v>
      </c>
    </row>
    <row r="23" ht="231.75" customHeight="1">
      <c r="A23" s="124"/>
      <c r="D23" s="128" t="s">
        <v>289</v>
      </c>
      <c r="E23" s="129"/>
      <c r="F23" s="129" t="s">
        <v>290</v>
      </c>
      <c r="G23" s="129" t="s">
        <v>291</v>
      </c>
    </row>
    <row r="24" ht="32.25" customHeight="1">
      <c r="D24" s="130" t="s">
        <v>273</v>
      </c>
      <c r="E24" s="130" t="s">
        <v>274</v>
      </c>
      <c r="F24" s="130" t="s">
        <v>275</v>
      </c>
      <c r="G24" s="130" t="s">
        <v>276</v>
      </c>
    </row>
  </sheetData>
  <mergeCells count="27">
    <mergeCell ref="A4:A6"/>
    <mergeCell ref="A7:A8"/>
    <mergeCell ref="A12:A14"/>
    <mergeCell ref="B12:C16"/>
    <mergeCell ref="A15:A16"/>
    <mergeCell ref="A20:A22"/>
    <mergeCell ref="B20:C24"/>
    <mergeCell ref="A23:A24"/>
    <mergeCell ref="A1:G1"/>
    <mergeCell ref="A2:G2"/>
    <mergeCell ref="D3:E3"/>
    <mergeCell ref="B4:C8"/>
    <mergeCell ref="D4:G4"/>
    <mergeCell ref="E5:F5"/>
    <mergeCell ref="D6:G6"/>
    <mergeCell ref="A18:G18"/>
    <mergeCell ref="D19:E19"/>
    <mergeCell ref="D20:G20"/>
    <mergeCell ref="E21:F21"/>
    <mergeCell ref="D22:G22"/>
    <mergeCell ref="A9:G9"/>
    <mergeCell ref="A10:G10"/>
    <mergeCell ref="D11:E11"/>
    <mergeCell ref="D12:G12"/>
    <mergeCell ref="E13:F13"/>
    <mergeCell ref="D14:G14"/>
    <mergeCell ref="A17:G17"/>
  </mergeCells>
  <hyperlinks>
    <hyperlink r:id="rId1" ref="A1"/>
    <hyperlink r:id="rId2" ref="D15"/>
    <hyperlink r:id="rId3" ref="E21"/>
    <hyperlink r:id="rId4" ref="D23"/>
  </hyperlinks>
  <drawing r:id="rId5"/>
</worksheet>
</file>