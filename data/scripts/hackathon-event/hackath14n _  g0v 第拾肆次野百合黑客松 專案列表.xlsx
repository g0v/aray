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時間不及編寫，先用一個產品規劃 hackpad，之後再擴充 &gt;&lt;</t>
      </text>
    </comment>
  </commentList>
</comments>
</file>

<file path=xl/sharedStrings.xml><?xml version="1.0" encoding="utf-8"?>
<sst xmlns="http://schemas.openxmlformats.org/spreadsheetml/2006/main" count="314" uniqueCount="212">
  <si>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</si>
  <si>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</si>
  <si>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</si>
  <si>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</si>
  <si>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</si>
  <si>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</si>
  <si>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</si>
  <si>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</si>
  <si>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</si>
  <si>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</si>
  <si>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</si>
  <si>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</si>
  <si>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6/13 09:30開場，09:40提案開始【3分鐘提案報名】每個 present 3min，提案、徵人。</t>
  </si>
  <si>
    <t>直播網址</t>
  </si>
  <si>
    <t>https://www.youtube.com/watch?v=tKVJtongXmA</t>
  </si>
  <si>
    <t>V</t>
  </si>
  <si>
    <t>Yo Yo</t>
  </si>
  <si>
    <t>yes</t>
  </si>
  <si>
    <t>立委投票指南－易用性測試</t>
  </si>
  <si>
    <t>CC0</t>
  </si>
  <si>
    <t>https://g0v.hackpad.com/-Usability-test-yxrIYtdhyzF</t>
  </si>
  <si>
    <t xml:space="preserve">UX Usability  </t>
  </si>
  <si>
    <t xml:space="preserve">UX、受測者、任務設計 </t>
  </si>
  <si>
    <t>https://www.youtube.com/watch?v=zya5MT8klRs&amp;index=3&amp;list=PLdwQWxpS513A5q0y-BIxN3BmWl0TOuoVu</t>
  </si>
  <si>
    <t>https://docs.google.com/presentation/d/1QdfzZFuSFAWGDd5mqZv6XY8g9RNO4lS3xvRdD95LClM/edit?usp=sharing</t>
  </si>
  <si>
    <t xml:space="preserve"> </t>
  </si>
  <si>
    <t>ETBlue</t>
  </si>
  <si>
    <t>COSCUP野生官網</t>
  </si>
  <si>
    <t>https://g0v.hackpad.com/COSCUP-2015--WxxpYVpXOWA</t>
  </si>
  <si>
    <t>COSCUP，野生官網，CC0</t>
  </si>
  <si>
    <t>前端工程師</t>
  </si>
  <si>
    <t>https://www.youtube.com/watch?v=mXvzEwXlxpI&amp;index=5&amp;list=PLdwQWxpS513A5q0y-BIxN3BmWl0TOuoVu</t>
  </si>
  <si>
    <t>ronny</t>
  </si>
  <si>
    <t>發文附上判決書運動</t>
  </si>
  <si>
    <t>https://g0v.hackpad.com/hQ12Bq8UQIq</t>
  </si>
  <si>
    <t>新聞、判決書、wikipedia</t>
  </si>
  <si>
    <t>文字,法律</t>
  </si>
  <si>
    <t>https://www.youtube.com/watch?v=7-RBjmwEgA4&amp;index=4&amp;list=PLdwQWxpS513A5q0y-BIxN3BmWl0TOuoVu</t>
  </si>
  <si>
    <t>https://docs.google.com/presentation/d/1sx3kcJKfU833DGJhFQdt9mFn6TEIIxdl-aB7lWECaT0/edit#slide=id.ga122bd45a_1_58</t>
  </si>
  <si>
    <t>chewei</t>
  </si>
  <si>
    <t>心家園：臨時住宅與永久屋規劃設計資料庫</t>
  </si>
  <si>
    <t>?（需要協助釐清）</t>
  </si>
  <si>
    <t>https://g0v.hackpad.com/jEoiuMS44dD</t>
  </si>
  <si>
    <t>空間規劃與建築設計資料, 救災與重建, 資料庫</t>
  </si>
  <si>
    <t>建築設計, 資料庫, 授權實務</t>
  </si>
  <si>
    <t>https://www.youtube.com/watch?v=knTsXgZSe3s&amp;index=6&amp;list=PLdwQWxpS513A5q0y-BIxN3BmWl0TOuoVu</t>
  </si>
  <si>
    <t>https://docs.google.com/presentation/d/1GZpFUD9EFicgR3_PnluaJrkKC6kSi45aT-WIzqpiIhM/edit?usp=sharing</t>
  </si>
  <si>
    <t>顧膝蓋的捷運移動指南 ㊙</t>
  </si>
  <si>
    <t>https://g0v.hackpad.com/--UtFnSw1N82s</t>
  </si>
  <si>
    <t>捷運, 膝蓋, 工人智慧</t>
  </si>
  <si>
    <t>MRT, indoormapping, crowdsourcing</t>
  </si>
  <si>
    <t>https://www.youtube.com/watch?v=j_oPwwkNkoU&amp;index=7&amp;list=PLdwQWxpS513A5q0y-BIxN3BmWl0TOuoVu</t>
  </si>
  <si>
    <t>https://docs.google.com/presentation/d/1iZtVd9Ite4qNAP1l81hVvQuPXsz8n1olxxuXVfEZJHE/edit?usp=sharing</t>
  </si>
  <si>
    <t>地號轉地圖  Land No. Mapper</t>
  </si>
  <si>
    <t>https://g0v.hackpad.com/-Land-No.-Mapper-uhB6qAwYXe5</t>
  </si>
  <si>
    <t>野生地號查詢API, 試算表, Mapper</t>
  </si>
  <si>
    <t xml:space="preserve">http://twland.ronny.tw, UI, </t>
  </si>
  <si>
    <t>https://www.youtube.com/watch?v=J3ZESIRIA8w&amp;index=8&amp;list=PLdwQWxpS513A5q0y-BIxN3BmWl0TOuoVu</t>
  </si>
  <si>
    <t>https://docs.google.com/presentation/d/17zoTSPLiG9wZITZkjMXuCD3y14KWRCc78PrCKBSq8fk/edit?usp=sharing</t>
  </si>
  <si>
    <t>timloo</t>
  </si>
  <si>
    <t>碩士論文研究</t>
  </si>
  <si>
    <t>https://g0v.hackpad.com/EMBA-qlnlC8oRFCw</t>
  </si>
  <si>
    <t>碩士論文  分享  協作工具</t>
  </si>
  <si>
    <t>1。(xe)latex 中文章節項修改，2。D3.js 轉統計圖，3。填問卷，https://docs.google.com/forms/d/1OEjW3VyUofXD3mSuQQkQs5gIah7rw-2joqWVwHEOAKU/viewform</t>
  </si>
  <si>
    <t>https://www.youtube.com/watch?v=c_Kvdg9Dlzc&amp;index=9&amp;list=PLdwQWxpS513A5q0y-BIxN3BmWl0TOuoVu</t>
  </si>
  <si>
    <t>https://docs.google.com/presentation/d/1bB4gu5GkB8MUEnj35VaBkIPAJ-6uPuhrfwf_AkJUJ4w/present?slide=id.p</t>
  </si>
  <si>
    <t>淵智</t>
  </si>
  <si>
    <t>貪污判決查詢網站</t>
  </si>
  <si>
    <t>https://g0v.hackpad.com/--OoaenzjVDKK</t>
  </si>
  <si>
    <t>https://www.youtube.com/watch?v=-2GIYABcF5U&amp;index=10&amp;list=PLdwQWxpS513A5q0y-BIxN3BmWl0TOuoVu</t>
  </si>
  <si>
    <t>Jason Kuan</t>
  </si>
  <si>
    <t xml:space="preserve">車禍熱圖
</t>
  </si>
  <si>
    <t xml:space="preserve">CC-BY/BSD
</t>
  </si>
  <si>
    <t>https://github.com/Drainet/cacci-opendata</t>
  </si>
  <si>
    <t>車禍, 地點分佈, 經緯度request</t>
  </si>
  <si>
    <t xml:space="preserve">設計（我們的美術糟糕沒有極限）
</t>
  </si>
  <si>
    <t>https://www.youtube.com/watch?v=-Nd8RgHlsts&amp;index=11&amp;list=PLdwQWxpS513A5q0y-BIxN3BmWl0TOuoVu</t>
  </si>
  <si>
    <t>https://dl.dropboxusercontent.com/u/67191344/site/g0v_present/assets/player/KeynoteDHTMLPlayer.html#0</t>
  </si>
  <si>
    <t>理查</t>
  </si>
  <si>
    <t>開放都市計畫:委員會會議紀錄</t>
  </si>
  <si>
    <t>CC-BY;MIT</t>
  </si>
  <si>
    <t>https://g0v.hackpad.com/--BpW2Xt7s8AH</t>
  </si>
  <si>
    <t>都市計畫委員會,會議紀錄</t>
  </si>
  <si>
    <t>地方政府政務官 (!)、爬梳施政報告</t>
  </si>
  <si>
    <t>https://www.youtube.com/watch?v=cphsT3dENY0&amp;index=12&amp;list=PLdwQWxpS513A5q0y-BIxN3BmWl0TOuoVu</t>
  </si>
  <si>
    <t>MrOrz</t>
  </si>
  <si>
    <t>政治承諾追蹤網 political promise tracker</t>
  </si>
  <si>
    <t>code:MIT; content: CC0</t>
  </si>
  <si>
    <t>beta.hackfoldr.org/ppt</t>
  </si>
  <si>
    <t>群眾協作, 施政報告, 政策追蹤</t>
  </si>
  <si>
    <t>https://www.youtube.com/watch?v=EpyBdNSBN0c&amp;index=13&amp;list=PLdwQWxpS513A5q0y-BIxN3BmWl0TOuoVu</t>
  </si>
  <si>
    <t>https://speakerdeck.com/mrorz/political-promise-tracker-zheng-zhi-cheng-nuo-zhui-zong-wang-g0v-hackath14n-ti-an</t>
  </si>
  <si>
    <t>洪申翰</t>
  </si>
  <si>
    <t>跨海峽企業環境表現資訊揭露與民間監督</t>
  </si>
  <si>
    <t>生產中</t>
  </si>
  <si>
    <t>污染轉移、環境資訊揭露、供應鏈社會責任</t>
  </si>
  <si>
    <t>企業基本資料與表現資料收集與爬梳</t>
  </si>
  <si>
    <t>https://www.youtube.com/watch?v=cH75eAnlLWQ&amp;index=14&amp;list=PLdwQWxpS513A5q0y-BIxN3BmWl0TOuoVu</t>
  </si>
  <si>
    <t>miaoski</t>
  </si>
  <si>
    <t>方敏英字典拼字修正誠徵義工</t>
  </si>
  <si>
    <t>CC-BY-NC 3.0</t>
  </si>
  <si>
    <t>https://github.com/miaoski/amis-data</t>
  </si>
  <si>
    <t>阿美語、萌典</t>
  </si>
  <si>
    <t>鍵盤義工</t>
  </si>
  <si>
    <t>https://www.youtube.com/watch?v=pg4ENqPjq10&amp;index=15&amp;list=PLdwQWxpS513A5q0y-BIxN3BmWl0TOuoVu</t>
  </si>
  <si>
    <t>迷有投影片</t>
  </si>
  <si>
    <t>viola</t>
  </si>
  <si>
    <t>全台公立動物收容所資訊統整</t>
  </si>
  <si>
    <t>https://g0v.hackpad.com/JBhVDOPxhxe</t>
  </si>
  <si>
    <t>動物、收容所</t>
  </si>
  <si>
    <t>https://www.youtube.com/watch?v=v0CUCLFq8T0&amp;index=16&amp;list=PLdwQWxpS513A5q0y-BIxN3BmWl0TOuoVu</t>
  </si>
  <si>
    <t>a0kman</t>
  </si>
  <si>
    <t>醫農</t>
  </si>
  <si>
    <t>馬克阿婆生產中</t>
  </si>
  <si>
    <t>農業 病蟲 試驗單位</t>
  </si>
  <si>
    <t>UI、前端</t>
  </si>
  <si>
    <t>https://www.youtube.com/watch?v=WYwfh_k34io&amp;index=17&amp;list=PLdwQWxpS513A5q0y-BIxN3BmWl0TOuoVu</t>
  </si>
  <si>
    <t>空污檢測啦啦啦</t>
  </si>
  <si>
    <t>MIT (暫定)</t>
  </si>
  <si>
    <t>https://g0v.hackpad.com/IoT-DIY-B1xkj9fUqqH</t>
  </si>
  <si>
    <t>PM2.5, Arduino, Aircasting</t>
  </si>
  <si>
    <t>硬體、後端</t>
  </si>
  <si>
    <t>https://www.youtube.com/watch?v=NXZ9FYZ_b78&amp;index=18&amp;list=PLdwQWxpS513A5q0y-BIxN3BmWl0TOuoVu</t>
  </si>
  <si>
    <t>moon_c (RS代)</t>
  </si>
  <si>
    <t>授權小幫手(=ﾟωﾟ)ﾉ</t>
  </si>
  <si>
    <t xml:space="preserve">CC0 </t>
  </si>
  <si>
    <t>https://g0v.hackpad.com/CC-Cp3CFHqbLcx</t>
  </si>
  <si>
    <t>cc授權</t>
  </si>
  <si>
    <t>前端大人</t>
  </si>
  <si>
    <t>https://www.youtube.com/watch?v=Itl_WU3SmCA&amp;index=19&amp;list=PLdwQWxpS513A5q0y-BIxN3BmWl0TOuoVu</t>
  </si>
  <si>
    <t>三</t>
  </si>
  <si>
    <t>河圖-跨議題資訊整合UI</t>
  </si>
  <si>
    <t>https://drive.google.com/open?id=0B9bDFHChjWyHRTliS0EwaVc2WXc&amp;authuser=0</t>
  </si>
  <si>
    <t>群眾上傳、議題整合</t>
  </si>
  <si>
    <t>前端後湍工程師、設計師、律師、圖資管理師</t>
  </si>
  <si>
    <t>https://www.youtube.com/watch?v=BUM2uXR4vLA&amp;index=20&amp;list=PLdwQWxpS513A5q0y-BIxN3BmWl0TOuoVu</t>
  </si>
  <si>
    <t>==== 截止 ====</t>
  </si>
  <si>
    <t>,,</t>
  </si>
  <si>
    <t>6/13 14:30【8分鐘短講報名】
每個 present 8min，分享技術、議題、專案、研究皆可。</t>
  </si>
  <si>
    <t>順序</t>
  </si>
  <si>
    <t>發表時間（自填）</t>
  </si>
  <si>
    <t>短講完成</t>
  </si>
  <si>
    <t>同意錄影以 CC-By 釋出?</t>
  </si>
  <si>
    <t>三個關鍵字</t>
  </si>
  <si>
    <t>專案徵人</t>
  </si>
  <si>
    <t>v</t>
  </si>
  <si>
    <t>Jimmy</t>
  </si>
  <si>
    <t>y</t>
  </si>
  <si>
    <t>賽豬公上太空（Why-How-What）</t>
  </si>
  <si>
    <t>http://www.slideshare.net/jimyhuang/twlandsat</t>
  </si>
  <si>
    <t>https://youtu.be/TBQJSCaERVk</t>
  </si>
  <si>
    <t>Superbil</t>
  </si>
  <si>
    <t>政府公開通訊錄</t>
  </si>
  <si>
    <t>http://hack.g0v.tw/kuansim/g6v6MpyacFb</t>
  </si>
  <si>
    <t>通訊錄</t>
  </si>
  <si>
    <t>填坑獸、前端、UI</t>
  </si>
  <si>
    <t>http://youtu.be/ZWOvQ6w55yo</t>
  </si>
  <si>
    <t>申翰</t>
  </si>
  <si>
    <t>https://g0v.hackpad.com/cAbxJt2yt94</t>
  </si>
  <si>
    <t>http://youtu.be/-JIFqZpzPw4</t>
  </si>
  <si>
    <t>本期開放4位8分鐘</t>
  </si>
  <si>
    <t>6/13 17:00【 present project】 規則：於106-7會議室舉行
每個 present 5min，可視 project 數量和剩餘時間調整</t>
  </si>
  <si>
    <t>clkao</t>
  </si>
  <si>
    <t>billab / 著作權</t>
  </si>
  <si>
    <t>MIT</t>
  </si>
  <si>
    <t>17:05</t>
  </si>
  <si>
    <t>17:10</t>
  </si>
  <si>
    <t>RSChiang</t>
  </si>
  <si>
    <t>LF2</t>
  </si>
  <si>
    <t>https://g0v.hackpad.com/-Law-Formalization-2.0-L7laAVrpoF6</t>
  </si>
  <si>
    <t>17:15</t>
  </si>
  <si>
    <t>17:20</t>
  </si>
  <si>
    <t>Peggy</t>
  </si>
  <si>
    <t>長照大逃殺</t>
  </si>
  <si>
    <t>https://hackpad.com/eINykDwd3hm</t>
  </si>
  <si>
    <t>17:25</t>
  </si>
  <si>
    <t xml:space="preserve">yes
</t>
  </si>
  <si>
    <t>https://g0v.hackpad.com/--8O5yt2XfygI</t>
  </si>
  <si>
    <t>17:30</t>
  </si>
  <si>
    <t xml:space="preserve">Jason Kuan
</t>
  </si>
  <si>
    <t>https://g0v.hackpad.com/g0v--T8ut8EVOZAW</t>
  </si>
  <si>
    <t xml:space="preserve">車禍,地點分析,車禍種類
</t>
  </si>
  <si>
    <t>17:35</t>
  </si>
  <si>
    <t>Liz Lin</t>
  </si>
  <si>
    <t>iTaigi</t>
  </si>
  <si>
    <t>http://itaigi.tw/</t>
  </si>
  <si>
    <t>新台語，火星，運動</t>
  </si>
  <si>
    <t>17:40</t>
  </si>
  <si>
    <t>ipa</t>
  </si>
  <si>
    <t>憲餅廚房</t>
  </si>
  <si>
    <t>https://www.youtube.com/playlist?list=PLaH546yhVaGv7MWXWv1R5pRYaOy3Ltndm</t>
  </si>
  <si>
    <t>http://clkao.github.io/overhang/</t>
  </si>
  <si>
    <t>17:45</t>
  </si>
  <si>
    <t>發文附上判決書</t>
  </si>
  <si>
    <t>17:50</t>
  </si>
  <si>
    <t>貪污、判決書</t>
  </si>
  <si>
    <t>17:55</t>
  </si>
  <si>
    <t>阿美語萌典 + 空污偵測啦啦啦</t>
  </si>
  <si>
    <t>CC-BY-NC / ?</t>
  </si>
  <si>
    <t>18:00</t>
  </si>
  <si>
    <t>李慕約</t>
  </si>
  <si>
    <t>長照大逃殺 -- 還原真相</t>
  </si>
  <si>
    <t>往上填坑～</t>
  </si>
  <si>
    <t>開場場地 舞台</t>
  </si>
  <si>
    <t>白板</t>
  </si>
  <si>
    <t>門</t>
  </si>
  <si>
    <t>rschiang</t>
  </si>
  <si>
    <t xml:space="preserve"> 門</t>
  </si>
  <si>
    <t>阿美語</t>
  </si>
  <si>
    <t>政治承諾追蹤網 ppt</t>
  </si>
  <si>
    <t>開放都市計劃</t>
  </si>
  <si>
    <t>車禍熱圖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</si>
</sst>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H:mm"/>
  </numFmts>
  <fonts count="20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>
      <color rgb="FFFF9900"/>
    </font>
    <font>
      <u/>
      <color rgb="FFFF9900"/>
    </font>
    <font/>
    <font>
      <sz val="10.0"/>
      <color rgb="FF000000"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u/>
      <sz val="10.0"/>
      <color rgb="FF0000FF"/>
    </font>
    <font>
      <u/>
      <sz val="10.0"/>
      <color rgb="FF000000"/>
    </font>
    <font>
      <u/>
      <color rgb="FF0000FF"/>
    </font>
    <font>
      <u/>
      <color rgb="FF0000FF"/>
    </font>
    <font>
      <u/>
      <color rgb="FF0000FF"/>
    </font>
    <font>
      <sz val="14.0"/>
    </font>
    <font>
      <sz val="12.0"/>
    </font>
    <font>
      <sz val="6.0"/>
    </font>
  </fonts>
  <fills count="8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4" fontId="10" numFmtId="0" xfId="0" applyAlignment="1" applyFill="1" applyFont="1">
      <alignment horizontal="left" readingOrder="0" shrinkToFit="0" wrapText="1"/>
    </xf>
    <xf borderId="0" fillId="2" fontId="6" numFmtId="0" xfId="0" applyAlignment="1" applyFont="1">
      <alignment horizontal="center"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vertical="center" wrapText="1"/>
    </xf>
    <xf quotePrefix="1"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shrinkToFit="0" vertical="center" wrapText="1"/>
    </xf>
    <xf borderId="0" fillId="5" fontId="11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shrinkToFit="0" vertical="center" wrapText="1"/>
    </xf>
    <xf quotePrefix="1" borderId="0" fillId="5" fontId="11" numFmtId="0" xfId="0" applyAlignment="1" applyFont="1">
      <alignment horizontal="center" readingOrder="0" shrinkToFit="0" wrapText="1"/>
    </xf>
    <xf borderId="0" fillId="5" fontId="6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wrapText="1"/>
    </xf>
    <xf borderId="0" fillId="0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shrinkToFit="0" wrapText="1"/>
    </xf>
    <xf borderId="3" fillId="0" fontId="19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NXZ9FYZ_b78&amp;index=18&amp;list=PLdwQWxpS513A5q0y-BIxN3BmWl0TOuoVu" TargetMode="External"/><Relationship Id="rId42" Type="http://schemas.openxmlformats.org/officeDocument/2006/relationships/hyperlink" Target="https://www.youtube.com/watch?v=Itl_WU3SmCA&amp;index=19&amp;list=PLdwQWxpS513A5q0y-BIxN3BmWl0TOuoVu" TargetMode="External"/><Relationship Id="rId41" Type="http://schemas.openxmlformats.org/officeDocument/2006/relationships/hyperlink" Target="https://g0v.hackpad.com/CC-Cp3CFHqbLcx" TargetMode="External"/><Relationship Id="rId44" Type="http://schemas.openxmlformats.org/officeDocument/2006/relationships/hyperlink" Target="https://www.youtube.com/watch?v=BUM2uXR4vLA&amp;index=20&amp;list=PLdwQWxpS513A5q0y-BIxN3BmWl0TOuoVu" TargetMode="External"/><Relationship Id="rId43" Type="http://schemas.openxmlformats.org/officeDocument/2006/relationships/hyperlink" Target="https://drive.google.com/open?id=0B9bDFHChjWyHRTliS0EwaVc2WXc&amp;authuser=0" TargetMode="External"/><Relationship Id="rId46" Type="http://schemas.openxmlformats.org/officeDocument/2006/relationships/hyperlink" Target="https://youtu.be/TBQJSCaERVk" TargetMode="External"/><Relationship Id="rId45" Type="http://schemas.openxmlformats.org/officeDocument/2006/relationships/hyperlink" Target="http://www.slideshare.net/jimyhuang/twlandsa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tKVJtongXmA" TargetMode="External"/><Relationship Id="rId3" Type="http://schemas.openxmlformats.org/officeDocument/2006/relationships/hyperlink" Target="https://g0v.hackpad.com/-Usability-test-yxrIYtdhyzF" TargetMode="External"/><Relationship Id="rId4" Type="http://schemas.openxmlformats.org/officeDocument/2006/relationships/hyperlink" Target="https://www.youtube.com/watch?v=zya5MT8klRs&amp;index=3&amp;list=PLdwQWxpS513A5q0y-BIxN3BmWl0TOuoVu" TargetMode="External"/><Relationship Id="rId9" Type="http://schemas.openxmlformats.org/officeDocument/2006/relationships/hyperlink" Target="https://www.youtube.com/watch?v=7-RBjmwEgA4&amp;index=4&amp;list=PLdwQWxpS513A5q0y-BIxN3BmWl0TOuoVu" TargetMode="External"/><Relationship Id="rId48" Type="http://schemas.openxmlformats.org/officeDocument/2006/relationships/hyperlink" Target="http://youtu.be/ZWOvQ6w55yo" TargetMode="External"/><Relationship Id="rId47" Type="http://schemas.openxmlformats.org/officeDocument/2006/relationships/hyperlink" Target="http://hack.g0v.tw/kuansim/g6v6MpyacFb" TargetMode="External"/><Relationship Id="rId49" Type="http://schemas.openxmlformats.org/officeDocument/2006/relationships/hyperlink" Target="https://g0v.hackpad.com/cAbxJt2yt94" TargetMode="External"/><Relationship Id="rId5" Type="http://schemas.openxmlformats.org/officeDocument/2006/relationships/hyperlink" Target="https://docs.google.com/presentation/d/1QdfzZFuSFAWGDd5mqZv6XY8g9RNO4lS3xvRdD95LClM/edit?usp=sharing" TargetMode="External"/><Relationship Id="rId6" Type="http://schemas.openxmlformats.org/officeDocument/2006/relationships/hyperlink" Target="https://g0v.hackpad.com/COSCUP-2015--WxxpYVpXOWA" TargetMode="External"/><Relationship Id="rId7" Type="http://schemas.openxmlformats.org/officeDocument/2006/relationships/hyperlink" Target="https://www.youtube.com/watch?v=mXvzEwXlxpI&amp;index=5&amp;list=PLdwQWxpS513A5q0y-BIxN3BmWl0TOuoVu" TargetMode="External"/><Relationship Id="rId8" Type="http://schemas.openxmlformats.org/officeDocument/2006/relationships/hyperlink" Target="https://g0v.hackpad.com/hQ12Bq8UQIq" TargetMode="External"/><Relationship Id="rId31" Type="http://schemas.openxmlformats.org/officeDocument/2006/relationships/hyperlink" Target="https://www.youtube.com/watch?v=EpyBdNSBN0c&amp;index=13&amp;list=PLdwQWxpS513A5q0y-BIxN3BmWl0TOuoVu" TargetMode="External"/><Relationship Id="rId30" Type="http://schemas.openxmlformats.org/officeDocument/2006/relationships/hyperlink" Target="http://beta.hackfoldr.org/ppt" TargetMode="External"/><Relationship Id="rId33" Type="http://schemas.openxmlformats.org/officeDocument/2006/relationships/hyperlink" Target="https://www.youtube.com/watch?v=cH75eAnlLWQ&amp;index=14&amp;list=PLdwQWxpS513A5q0y-BIxN3BmWl0TOuoVu" TargetMode="External"/><Relationship Id="rId32" Type="http://schemas.openxmlformats.org/officeDocument/2006/relationships/hyperlink" Target="https://speakerdeck.com/mrorz/political-promise-tracker-zheng-zhi-cheng-nuo-zhui-zong-wang-g0v-hackath14n-ti-an" TargetMode="External"/><Relationship Id="rId35" Type="http://schemas.openxmlformats.org/officeDocument/2006/relationships/hyperlink" Target="https://www.youtube.com/watch?v=pg4ENqPjq10&amp;index=15&amp;list=PLdwQWxpS513A5q0y-BIxN3BmWl0TOuoVu" TargetMode="External"/><Relationship Id="rId34" Type="http://schemas.openxmlformats.org/officeDocument/2006/relationships/hyperlink" Target="https://github.com/miaoski/amis-data" TargetMode="External"/><Relationship Id="rId37" Type="http://schemas.openxmlformats.org/officeDocument/2006/relationships/hyperlink" Target="https://www.youtube.com/watch?v=v0CUCLFq8T0&amp;index=16&amp;list=PLdwQWxpS513A5q0y-BIxN3BmWl0TOuoVu" TargetMode="External"/><Relationship Id="rId36" Type="http://schemas.openxmlformats.org/officeDocument/2006/relationships/hyperlink" Target="https://g0v.hackpad.com/JBhVDOPxhxe" TargetMode="External"/><Relationship Id="rId39" Type="http://schemas.openxmlformats.org/officeDocument/2006/relationships/hyperlink" Target="https://g0v.hackpad.com/IoT-DIY-B1xkj9fUqqH" TargetMode="External"/><Relationship Id="rId38" Type="http://schemas.openxmlformats.org/officeDocument/2006/relationships/hyperlink" Target="https://www.youtube.com/watch?v=WYwfh_k34io&amp;index=17&amp;list=PLdwQWxpS513A5q0y-BIxN3BmWl0TOuoVu" TargetMode="External"/><Relationship Id="rId62" Type="http://schemas.openxmlformats.org/officeDocument/2006/relationships/hyperlink" Target="https://g0v.hackpad.com/IoT-DIY-B1xkj9fUqqH" TargetMode="External"/><Relationship Id="rId61" Type="http://schemas.openxmlformats.org/officeDocument/2006/relationships/hyperlink" Target="https://g0v.hackpad.com/--OoaenzjVDKK" TargetMode="External"/><Relationship Id="rId20" Type="http://schemas.openxmlformats.org/officeDocument/2006/relationships/hyperlink" Target="https://g0v.hackpad.com/EMBA-qlnlC8oRFCw" TargetMode="External"/><Relationship Id="rId64" Type="http://schemas.openxmlformats.org/officeDocument/2006/relationships/vmlDrawing" Target="../drawings/vmlDrawing1.vml"/><Relationship Id="rId63" Type="http://schemas.openxmlformats.org/officeDocument/2006/relationships/drawing" Target="../drawings/drawing1.xml"/><Relationship Id="rId22" Type="http://schemas.openxmlformats.org/officeDocument/2006/relationships/hyperlink" Target="https://docs.google.com/presentation/d/1bB4gu5GkB8MUEnj35VaBkIPAJ-6uPuhrfwf_AkJUJ4w/present?slide=id.p" TargetMode="External"/><Relationship Id="rId21" Type="http://schemas.openxmlformats.org/officeDocument/2006/relationships/hyperlink" Target="https://www.youtube.com/watch?v=c_Kvdg9Dlzc&amp;index=9&amp;list=PLdwQWxpS513A5q0y-BIxN3BmWl0TOuoVu" TargetMode="External"/><Relationship Id="rId24" Type="http://schemas.openxmlformats.org/officeDocument/2006/relationships/hyperlink" Target="https://www.youtube.com/watch?v=-2GIYABcF5U&amp;index=10&amp;list=PLdwQWxpS513A5q0y-BIxN3BmWl0TOuoVu" TargetMode="External"/><Relationship Id="rId23" Type="http://schemas.openxmlformats.org/officeDocument/2006/relationships/hyperlink" Target="https://g0v.hackpad.com/--OoaenzjVDKK" TargetMode="External"/><Relationship Id="rId60" Type="http://schemas.openxmlformats.org/officeDocument/2006/relationships/hyperlink" Target="https://g0v.hackpad.com/hQ12Bq8UQIq" TargetMode="External"/><Relationship Id="rId26" Type="http://schemas.openxmlformats.org/officeDocument/2006/relationships/hyperlink" Target="https://www.youtube.com/watch?v=-Nd8RgHlsts&amp;index=11&amp;list=PLdwQWxpS513A5q0y-BIxN3BmWl0TOuoVu" TargetMode="External"/><Relationship Id="rId25" Type="http://schemas.openxmlformats.org/officeDocument/2006/relationships/hyperlink" Target="https://github.com/Drainet/cacci-opendata" TargetMode="External"/><Relationship Id="rId28" Type="http://schemas.openxmlformats.org/officeDocument/2006/relationships/hyperlink" Target="https://g0v.hackpad.com/--BpW2Xt7s8AH" TargetMode="External"/><Relationship Id="rId27" Type="http://schemas.openxmlformats.org/officeDocument/2006/relationships/hyperlink" Target="https://dl.dropboxusercontent.com/u/67191344/site/g0v_present/assets/player/KeynoteDHTMLPlayer.html" TargetMode="External"/><Relationship Id="rId29" Type="http://schemas.openxmlformats.org/officeDocument/2006/relationships/hyperlink" Target="https://www.youtube.com/watch?v=cphsT3dENY0&amp;index=12&amp;list=PLdwQWxpS513A5q0y-BIxN3BmWl0TOuoVu" TargetMode="External"/><Relationship Id="rId51" Type="http://schemas.openxmlformats.org/officeDocument/2006/relationships/hyperlink" Target="https://g0v.hackpad.com/-Land-No.-Mapper-uhB6qAwYXe5" TargetMode="External"/><Relationship Id="rId50" Type="http://schemas.openxmlformats.org/officeDocument/2006/relationships/hyperlink" Target="http://youtu.be/-JIFqZpzPw4" TargetMode="External"/><Relationship Id="rId53" Type="http://schemas.openxmlformats.org/officeDocument/2006/relationships/hyperlink" Target="https://g0v.hackpad.com/--BpW2Xt7s8AH" TargetMode="External"/><Relationship Id="rId52" Type="http://schemas.openxmlformats.org/officeDocument/2006/relationships/hyperlink" Target="https://g0v.hackpad.com/-Law-Formalization-2.0-L7laAVrpoF6" TargetMode="External"/><Relationship Id="rId11" Type="http://schemas.openxmlformats.org/officeDocument/2006/relationships/hyperlink" Target="https://g0v.hackpad.com/jEoiuMS44dD" TargetMode="External"/><Relationship Id="rId55" Type="http://schemas.openxmlformats.org/officeDocument/2006/relationships/hyperlink" Target="https://g0v.hackpad.com/--8O5yt2XfygI" TargetMode="External"/><Relationship Id="rId10" Type="http://schemas.openxmlformats.org/officeDocument/2006/relationships/hyperlink" Target="https://docs.google.com/presentation/d/1sx3kcJKfU833DGJhFQdt9mFn6TEIIxdl-aB7lWECaT0/edit" TargetMode="External"/><Relationship Id="rId54" Type="http://schemas.openxmlformats.org/officeDocument/2006/relationships/hyperlink" Target="https://hackpad.com/eINykDwd3hm" TargetMode="External"/><Relationship Id="rId13" Type="http://schemas.openxmlformats.org/officeDocument/2006/relationships/hyperlink" Target="https://docs.google.com/presentation/d/1GZpFUD9EFicgR3_PnluaJrkKC6kSi45aT-WIzqpiIhM/edit?usp=sharing" TargetMode="External"/><Relationship Id="rId57" Type="http://schemas.openxmlformats.org/officeDocument/2006/relationships/hyperlink" Target="http://itaigi.tw/" TargetMode="External"/><Relationship Id="rId12" Type="http://schemas.openxmlformats.org/officeDocument/2006/relationships/hyperlink" Target="https://www.youtube.com/watch?v=knTsXgZSe3s&amp;index=6&amp;list=PLdwQWxpS513A5q0y-BIxN3BmWl0TOuoVu" TargetMode="External"/><Relationship Id="rId56" Type="http://schemas.openxmlformats.org/officeDocument/2006/relationships/hyperlink" Target="https://g0v.hackpad.com/g0v--T8ut8EVOZAW" TargetMode="External"/><Relationship Id="rId15" Type="http://schemas.openxmlformats.org/officeDocument/2006/relationships/hyperlink" Target="https://www.youtube.com/watch?v=j_oPwwkNkoU&amp;index=7&amp;list=PLdwQWxpS513A5q0y-BIxN3BmWl0TOuoVu" TargetMode="External"/><Relationship Id="rId59" Type="http://schemas.openxmlformats.org/officeDocument/2006/relationships/hyperlink" Target="http://clkao.github.io/overhang/" TargetMode="External"/><Relationship Id="rId14" Type="http://schemas.openxmlformats.org/officeDocument/2006/relationships/hyperlink" Target="https://g0v.hackpad.com/--UtFnSw1N82s" TargetMode="External"/><Relationship Id="rId58" Type="http://schemas.openxmlformats.org/officeDocument/2006/relationships/hyperlink" Target="https://www.youtube.com/playlist?list=PLaH546yhVaGv7MWXWv1R5pRYaOy3Ltndm" TargetMode="External"/><Relationship Id="rId17" Type="http://schemas.openxmlformats.org/officeDocument/2006/relationships/hyperlink" Target="https://g0v.hackpad.com/-Land-No.-Mapper-uhB6qAwYXe5" TargetMode="External"/><Relationship Id="rId16" Type="http://schemas.openxmlformats.org/officeDocument/2006/relationships/hyperlink" Target="https://docs.google.com/presentation/d/1iZtVd9Ite4qNAP1l81hVvQuPXsz8n1olxxuXVfEZJHE/edit?usp=sharing" TargetMode="External"/><Relationship Id="rId19" Type="http://schemas.openxmlformats.org/officeDocument/2006/relationships/hyperlink" Target="https://docs.google.com/presentation/d/17zoTSPLiG9wZITZkjMXuCD3y14KWRCc78PrCKBSq8fk/edit?usp=sharing" TargetMode="External"/><Relationship Id="rId18" Type="http://schemas.openxmlformats.org/officeDocument/2006/relationships/hyperlink" Target="https://www.youtube.com/watch?v=J3ZESIRIA8w&amp;index=8&amp;list=PLdwQWxpS513A5q0y-BIxN3BmWl0TOuoV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63"/>
    <col customWidth="1" min="6" max="6" width="31.75"/>
    <col customWidth="1" min="7" max="7" width="11.63"/>
    <col customWidth="1" min="8" max="8" width="37.25"/>
    <col customWidth="1" min="9" max="9" width="23.63"/>
    <col customWidth="1" min="10" max="10" width="22.5"/>
    <col customWidth="1" min="11" max="11" width="15.5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 t="s">
        <v>13</v>
      </c>
      <c r="D3" s="7" t="s">
        <v>14</v>
      </c>
      <c r="K3" s="6"/>
      <c r="L3" s="6"/>
      <c r="M3" s="6"/>
    </row>
    <row r="4" ht="15.0" hidden="1" customHeight="1">
      <c r="A4" s="8">
        <v>1.0</v>
      </c>
      <c r="B4" s="9">
        <v>0.4027777777777778</v>
      </c>
      <c r="C4" s="10"/>
      <c r="D4" s="8"/>
      <c r="E4" s="11"/>
      <c r="F4" s="8"/>
      <c r="G4" s="8"/>
      <c r="H4" s="12"/>
      <c r="I4" s="8"/>
      <c r="J4" s="8"/>
      <c r="K4" s="8"/>
      <c r="L4" s="13"/>
      <c r="M4" s="8"/>
    </row>
    <row r="5" ht="15.0" customHeight="1">
      <c r="A5" s="14">
        <f t="shared" ref="A5:A22" si="1">A4+1</f>
        <v>2</v>
      </c>
      <c r="B5" s="15">
        <f t="shared" ref="B5:B22" si="2">B4+3/24/60</f>
        <v>0.4048611111</v>
      </c>
      <c r="C5" s="10" t="s">
        <v>15</v>
      </c>
      <c r="D5" s="8" t="s">
        <v>16</v>
      </c>
      <c r="E5" s="11" t="s">
        <v>17</v>
      </c>
      <c r="F5" s="8" t="s">
        <v>18</v>
      </c>
      <c r="G5" s="8" t="s">
        <v>19</v>
      </c>
      <c r="H5" s="16" t="s">
        <v>20</v>
      </c>
      <c r="I5" s="8" t="s">
        <v>21</v>
      </c>
      <c r="J5" s="8" t="s">
        <v>22</v>
      </c>
      <c r="K5" s="16" t="s">
        <v>23</v>
      </c>
      <c r="M5" s="17" t="s">
        <v>24</v>
      </c>
    </row>
    <row r="6" ht="15.0" customHeight="1">
      <c r="A6" s="14">
        <f t="shared" si="1"/>
        <v>3</v>
      </c>
      <c r="B6" s="15">
        <f t="shared" si="2"/>
        <v>0.4069444444</v>
      </c>
      <c r="C6" s="10"/>
      <c r="D6" s="12" t="s">
        <v>25</v>
      </c>
      <c r="E6" s="11"/>
      <c r="F6" s="12"/>
      <c r="G6" s="12"/>
      <c r="H6" s="12"/>
      <c r="I6" s="12"/>
      <c r="J6" s="8"/>
      <c r="K6" s="8"/>
      <c r="L6" s="13"/>
      <c r="M6" s="13"/>
    </row>
    <row r="7" ht="15.0" customHeight="1">
      <c r="A7" s="14">
        <f t="shared" si="1"/>
        <v>4</v>
      </c>
      <c r="B7" s="15">
        <f t="shared" si="2"/>
        <v>0.4090277778</v>
      </c>
      <c r="C7" s="10" t="s">
        <v>15</v>
      </c>
      <c r="D7" s="8" t="s">
        <v>26</v>
      </c>
      <c r="E7" s="11" t="s">
        <v>17</v>
      </c>
      <c r="F7" s="8" t="s">
        <v>27</v>
      </c>
      <c r="G7" s="8" t="s">
        <v>19</v>
      </c>
      <c r="H7" s="16" t="s">
        <v>28</v>
      </c>
      <c r="I7" s="8" t="s">
        <v>29</v>
      </c>
      <c r="J7" s="8" t="s">
        <v>30</v>
      </c>
      <c r="K7" s="16" t="s">
        <v>31</v>
      </c>
      <c r="L7" s="13"/>
      <c r="M7" s="8"/>
    </row>
    <row r="8" ht="15.0" customHeight="1">
      <c r="A8" s="14">
        <f t="shared" si="1"/>
        <v>5</v>
      </c>
      <c r="B8" s="15">
        <f t="shared" si="2"/>
        <v>0.4111111111</v>
      </c>
      <c r="C8" s="10" t="s">
        <v>15</v>
      </c>
      <c r="D8" s="8" t="s">
        <v>32</v>
      </c>
      <c r="E8" s="11" t="s">
        <v>17</v>
      </c>
      <c r="F8" s="18" t="s">
        <v>33</v>
      </c>
      <c r="G8" s="8" t="s">
        <v>19</v>
      </c>
      <c r="H8" s="16" t="s">
        <v>34</v>
      </c>
      <c r="I8" s="8" t="s">
        <v>35</v>
      </c>
      <c r="J8" s="8" t="s">
        <v>36</v>
      </c>
      <c r="K8" s="16" t="s">
        <v>37</v>
      </c>
      <c r="L8" s="13"/>
      <c r="M8" s="16" t="s">
        <v>38</v>
      </c>
    </row>
    <row r="9" ht="15.0" customHeight="1">
      <c r="A9" s="14">
        <f t="shared" si="1"/>
        <v>6</v>
      </c>
      <c r="B9" s="15">
        <f t="shared" si="2"/>
        <v>0.4131944444</v>
      </c>
      <c r="C9" s="10" t="s">
        <v>15</v>
      </c>
      <c r="D9" s="8" t="s">
        <v>39</v>
      </c>
      <c r="E9" s="11" t="s">
        <v>17</v>
      </c>
      <c r="F9" s="8" t="s">
        <v>40</v>
      </c>
      <c r="G9" s="8" t="s">
        <v>41</v>
      </c>
      <c r="H9" s="16" t="s">
        <v>42</v>
      </c>
      <c r="I9" s="8" t="s">
        <v>43</v>
      </c>
      <c r="J9" s="8" t="s">
        <v>44</v>
      </c>
      <c r="K9" s="16" t="s">
        <v>45</v>
      </c>
      <c r="L9" s="13"/>
      <c r="M9" s="16" t="s">
        <v>46</v>
      </c>
    </row>
    <row r="10" ht="15.0" customHeight="1">
      <c r="A10" s="14">
        <f t="shared" si="1"/>
        <v>7</v>
      </c>
      <c r="B10" s="15">
        <f t="shared" si="2"/>
        <v>0.4152777778</v>
      </c>
      <c r="C10" s="10" t="s">
        <v>15</v>
      </c>
      <c r="D10" s="8" t="s">
        <v>39</v>
      </c>
      <c r="E10" s="11" t="s">
        <v>17</v>
      </c>
      <c r="F10" s="12" t="s">
        <v>47</v>
      </c>
      <c r="G10" s="8" t="s">
        <v>41</v>
      </c>
      <c r="H10" s="16" t="s">
        <v>48</v>
      </c>
      <c r="I10" s="8" t="s">
        <v>49</v>
      </c>
      <c r="J10" s="8" t="s">
        <v>50</v>
      </c>
      <c r="K10" s="16" t="s">
        <v>51</v>
      </c>
      <c r="L10" s="13"/>
      <c r="M10" s="16" t="s">
        <v>52</v>
      </c>
    </row>
    <row r="11" ht="15.0" customHeight="1">
      <c r="A11" s="14">
        <f t="shared" si="1"/>
        <v>8</v>
      </c>
      <c r="B11" s="15">
        <f t="shared" si="2"/>
        <v>0.4173611111</v>
      </c>
      <c r="C11" s="10" t="s">
        <v>15</v>
      </c>
      <c r="D11" s="8" t="s">
        <v>39</v>
      </c>
      <c r="E11" s="11" t="s">
        <v>17</v>
      </c>
      <c r="F11" s="8" t="s">
        <v>53</v>
      </c>
      <c r="G11" s="8" t="s">
        <v>41</v>
      </c>
      <c r="H11" s="16" t="s">
        <v>54</v>
      </c>
      <c r="I11" s="8" t="s">
        <v>55</v>
      </c>
      <c r="J11" s="8" t="s">
        <v>56</v>
      </c>
      <c r="K11" s="16" t="s">
        <v>57</v>
      </c>
      <c r="L11" s="13"/>
      <c r="M11" s="19" t="s">
        <v>58</v>
      </c>
    </row>
    <row r="12" ht="15.0" customHeight="1">
      <c r="A12" s="14">
        <f t="shared" si="1"/>
        <v>9</v>
      </c>
      <c r="B12" s="15">
        <f t="shared" si="2"/>
        <v>0.4194444444</v>
      </c>
      <c r="C12" s="10" t="s">
        <v>15</v>
      </c>
      <c r="D12" s="8" t="s">
        <v>59</v>
      </c>
      <c r="E12" s="11" t="s">
        <v>17</v>
      </c>
      <c r="F12" s="8" t="s">
        <v>60</v>
      </c>
      <c r="G12" s="8" t="s">
        <v>19</v>
      </c>
      <c r="H12" s="16" t="s">
        <v>61</v>
      </c>
      <c r="I12" s="8" t="s">
        <v>62</v>
      </c>
      <c r="J12" s="8" t="s">
        <v>63</v>
      </c>
      <c r="K12" s="16" t="s">
        <v>64</v>
      </c>
      <c r="L12" s="8"/>
      <c r="M12" s="16" t="s">
        <v>65</v>
      </c>
    </row>
    <row r="13" ht="15.0" customHeight="1">
      <c r="A13" s="14">
        <f t="shared" si="1"/>
        <v>10</v>
      </c>
      <c r="B13" s="15">
        <f t="shared" si="2"/>
        <v>0.4215277778</v>
      </c>
      <c r="C13" s="10" t="s">
        <v>15</v>
      </c>
      <c r="D13" s="12" t="s">
        <v>66</v>
      </c>
      <c r="E13" s="20" t="s">
        <v>17</v>
      </c>
      <c r="F13" s="12" t="s">
        <v>67</v>
      </c>
      <c r="G13" s="12" t="s">
        <v>19</v>
      </c>
      <c r="H13" s="17" t="s">
        <v>68</v>
      </c>
      <c r="I13" s="12"/>
      <c r="J13" s="12"/>
      <c r="K13" s="16" t="s">
        <v>69</v>
      </c>
      <c r="L13" s="13"/>
      <c r="M13" s="13"/>
    </row>
    <row r="14" ht="15.0" customHeight="1">
      <c r="A14" s="14">
        <f t="shared" si="1"/>
        <v>11</v>
      </c>
      <c r="B14" s="15">
        <f t="shared" si="2"/>
        <v>0.4236111111</v>
      </c>
      <c r="C14" s="10" t="s">
        <v>15</v>
      </c>
      <c r="D14" s="8" t="s">
        <v>70</v>
      </c>
      <c r="E14" s="11" t="s">
        <v>17</v>
      </c>
      <c r="F14" s="8" t="s">
        <v>71</v>
      </c>
      <c r="G14" s="8" t="s">
        <v>72</v>
      </c>
      <c r="H14" s="16" t="s">
        <v>73</v>
      </c>
      <c r="I14" s="8" t="s">
        <v>74</v>
      </c>
      <c r="J14" s="8" t="s">
        <v>75</v>
      </c>
      <c r="K14" s="16" t="s">
        <v>76</v>
      </c>
      <c r="L14" s="13"/>
      <c r="M14" s="16" t="s">
        <v>77</v>
      </c>
    </row>
    <row r="15" ht="15.0" customHeight="1">
      <c r="A15" s="14">
        <f t="shared" si="1"/>
        <v>12</v>
      </c>
      <c r="B15" s="15">
        <f t="shared" si="2"/>
        <v>0.4256944444</v>
      </c>
      <c r="C15" s="10" t="s">
        <v>15</v>
      </c>
      <c r="D15" s="14" t="s">
        <v>78</v>
      </c>
      <c r="E15" s="11" t="s">
        <v>17</v>
      </c>
      <c r="F15" s="14" t="s">
        <v>79</v>
      </c>
      <c r="G15" s="21" t="s">
        <v>80</v>
      </c>
      <c r="H15" s="19" t="s">
        <v>81</v>
      </c>
      <c r="I15" s="8" t="s">
        <v>82</v>
      </c>
      <c r="J15" s="8" t="s">
        <v>83</v>
      </c>
      <c r="K15" s="16" t="s">
        <v>84</v>
      </c>
      <c r="L15" s="13"/>
      <c r="M15" s="13"/>
    </row>
    <row r="16" ht="15.0" customHeight="1">
      <c r="A16" s="14">
        <f t="shared" si="1"/>
        <v>13</v>
      </c>
      <c r="B16" s="15">
        <f t="shared" si="2"/>
        <v>0.4277777778</v>
      </c>
      <c r="C16" s="10" t="s">
        <v>15</v>
      </c>
      <c r="D16" s="8" t="s">
        <v>85</v>
      </c>
      <c r="E16" s="11" t="s">
        <v>17</v>
      </c>
      <c r="F16" s="8" t="s">
        <v>86</v>
      </c>
      <c r="G16" s="21" t="s">
        <v>87</v>
      </c>
      <c r="H16" s="16" t="s">
        <v>88</v>
      </c>
      <c r="I16" s="8" t="s">
        <v>89</v>
      </c>
      <c r="K16" s="16" t="s">
        <v>90</v>
      </c>
      <c r="L16" s="13"/>
      <c r="M16" s="16" t="s">
        <v>91</v>
      </c>
    </row>
    <row r="17" ht="15.0" customHeight="1">
      <c r="A17" s="14">
        <f t="shared" si="1"/>
        <v>14</v>
      </c>
      <c r="B17" s="15">
        <f t="shared" si="2"/>
        <v>0.4298611111</v>
      </c>
      <c r="C17" s="10" t="s">
        <v>15</v>
      </c>
      <c r="D17" s="8" t="s">
        <v>92</v>
      </c>
      <c r="E17" s="11" t="s">
        <v>17</v>
      </c>
      <c r="F17" s="8" t="s">
        <v>93</v>
      </c>
      <c r="G17" s="8"/>
      <c r="H17" s="22" t="s">
        <v>94</v>
      </c>
      <c r="I17" s="8" t="s">
        <v>95</v>
      </c>
      <c r="J17" s="8" t="s">
        <v>96</v>
      </c>
      <c r="K17" s="16" t="s">
        <v>97</v>
      </c>
      <c r="L17" s="13"/>
      <c r="M17" s="8"/>
    </row>
    <row r="18" ht="15.0" customHeight="1">
      <c r="A18" s="14">
        <f t="shared" si="1"/>
        <v>15</v>
      </c>
      <c r="B18" s="15">
        <f t="shared" si="2"/>
        <v>0.4319444444</v>
      </c>
      <c r="C18" s="10" t="s">
        <v>15</v>
      </c>
      <c r="D18" s="8" t="s">
        <v>98</v>
      </c>
      <c r="E18" s="11" t="s">
        <v>17</v>
      </c>
      <c r="F18" s="8" t="s">
        <v>99</v>
      </c>
      <c r="G18" s="8" t="s">
        <v>100</v>
      </c>
      <c r="H18" s="23" t="s">
        <v>101</v>
      </c>
      <c r="I18" s="24" t="s">
        <v>102</v>
      </c>
      <c r="J18" s="8" t="s">
        <v>103</v>
      </c>
      <c r="K18" s="16" t="s">
        <v>104</v>
      </c>
      <c r="L18" s="13"/>
      <c r="M18" s="8" t="s">
        <v>105</v>
      </c>
    </row>
    <row r="19" ht="15.0" customHeight="1">
      <c r="A19" s="14">
        <f t="shared" si="1"/>
        <v>16</v>
      </c>
      <c r="B19" s="15">
        <f t="shared" si="2"/>
        <v>0.4340277778</v>
      </c>
      <c r="C19" s="10" t="s">
        <v>15</v>
      </c>
      <c r="D19" s="14" t="s">
        <v>106</v>
      </c>
      <c r="E19" s="11" t="s">
        <v>17</v>
      </c>
      <c r="F19" s="14" t="s">
        <v>107</v>
      </c>
      <c r="G19" s="8"/>
      <c r="H19" s="25" t="s">
        <v>108</v>
      </c>
      <c r="I19" s="14" t="s">
        <v>109</v>
      </c>
      <c r="J19" s="8"/>
      <c r="K19" s="16" t="s">
        <v>110</v>
      </c>
      <c r="L19" s="13"/>
      <c r="M19" s="8"/>
    </row>
    <row r="20" ht="15.0" customHeight="1">
      <c r="A20" s="14">
        <f t="shared" si="1"/>
        <v>17</v>
      </c>
      <c r="B20" s="15">
        <f t="shared" si="2"/>
        <v>0.4361111111</v>
      </c>
      <c r="C20" s="10" t="s">
        <v>15</v>
      </c>
      <c r="D20" s="8" t="s">
        <v>111</v>
      </c>
      <c r="E20" s="11" t="s">
        <v>17</v>
      </c>
      <c r="F20" s="8" t="s">
        <v>112</v>
      </c>
      <c r="G20" s="8" t="s">
        <v>41</v>
      </c>
      <c r="H20" s="12" t="s">
        <v>113</v>
      </c>
      <c r="I20" s="8" t="s">
        <v>114</v>
      </c>
      <c r="J20" s="12" t="s">
        <v>115</v>
      </c>
      <c r="K20" s="16" t="s">
        <v>116</v>
      </c>
      <c r="L20" s="13"/>
      <c r="M20" s="8"/>
    </row>
    <row r="21" ht="15.0" customHeight="1">
      <c r="A21" s="14">
        <f t="shared" si="1"/>
        <v>18</v>
      </c>
      <c r="B21" s="15">
        <f t="shared" si="2"/>
        <v>0.4381944444</v>
      </c>
      <c r="C21" s="10" t="s">
        <v>15</v>
      </c>
      <c r="D21" s="8" t="s">
        <v>98</v>
      </c>
      <c r="E21" s="11" t="s">
        <v>17</v>
      </c>
      <c r="F21" s="8" t="s">
        <v>117</v>
      </c>
      <c r="G21" s="21" t="s">
        <v>118</v>
      </c>
      <c r="H21" s="16" t="s">
        <v>119</v>
      </c>
      <c r="I21" s="8" t="s">
        <v>120</v>
      </c>
      <c r="J21" s="8" t="s">
        <v>121</v>
      </c>
      <c r="K21" s="16" t="s">
        <v>122</v>
      </c>
      <c r="L21" s="13"/>
      <c r="M21" s="8" t="s">
        <v>105</v>
      </c>
    </row>
    <row r="22" ht="15.0" customHeight="1">
      <c r="A22" s="14">
        <f t="shared" si="1"/>
        <v>19</v>
      </c>
      <c r="B22" s="15">
        <f t="shared" si="2"/>
        <v>0.4402777778</v>
      </c>
      <c r="C22" s="10" t="s">
        <v>15</v>
      </c>
      <c r="D22" s="8" t="s">
        <v>123</v>
      </c>
      <c r="E22" s="11" t="s">
        <v>17</v>
      </c>
      <c r="F22" s="8" t="s">
        <v>124</v>
      </c>
      <c r="G22" s="8" t="s">
        <v>125</v>
      </c>
      <c r="H22" s="16" t="s">
        <v>126</v>
      </c>
      <c r="I22" s="8" t="s">
        <v>127</v>
      </c>
      <c r="J22" s="8" t="s">
        <v>128</v>
      </c>
      <c r="K22" s="16" t="s">
        <v>129</v>
      </c>
      <c r="M22" s="12"/>
    </row>
    <row r="23" ht="15.0" customHeight="1">
      <c r="B23" s="10"/>
      <c r="C23" s="10" t="s">
        <v>15</v>
      </c>
      <c r="D23" s="10" t="s">
        <v>130</v>
      </c>
      <c r="E23" s="10"/>
      <c r="F23" s="8" t="s">
        <v>131</v>
      </c>
      <c r="G23" s="8"/>
      <c r="H23" s="16" t="s">
        <v>132</v>
      </c>
      <c r="I23" s="8" t="s">
        <v>133</v>
      </c>
      <c r="J23" s="8" t="s">
        <v>134</v>
      </c>
      <c r="K23" s="16" t="s">
        <v>135</v>
      </c>
      <c r="L23" s="13"/>
      <c r="M23" s="8"/>
    </row>
    <row r="24" ht="15.0" customHeight="1">
      <c r="A24" s="8"/>
      <c r="B24" s="15"/>
      <c r="C24" s="10"/>
      <c r="D24" s="26" t="s">
        <v>136</v>
      </c>
      <c r="E24" s="11"/>
      <c r="F24" s="8"/>
      <c r="G24" s="8" t="s">
        <v>137</v>
      </c>
      <c r="H24" s="8"/>
      <c r="I24" s="8"/>
      <c r="J24" s="8"/>
      <c r="K24" s="8"/>
      <c r="L24" s="13"/>
      <c r="M24" s="13"/>
    </row>
    <row r="25" ht="15.0" customHeight="1">
      <c r="A25" s="5" t="s">
        <v>138</v>
      </c>
    </row>
    <row r="26" ht="15.0" customHeight="1">
      <c r="A26" s="27" t="s">
        <v>139</v>
      </c>
      <c r="B26" s="2" t="s">
        <v>140</v>
      </c>
      <c r="C26" s="1" t="s">
        <v>141</v>
      </c>
      <c r="D26" s="27" t="s">
        <v>2</v>
      </c>
      <c r="E26" s="28" t="s">
        <v>142</v>
      </c>
      <c r="F26" s="27" t="s">
        <v>4</v>
      </c>
      <c r="G26" s="29"/>
      <c r="H26" s="27" t="s">
        <v>6</v>
      </c>
      <c r="I26" s="27" t="s">
        <v>143</v>
      </c>
      <c r="J26" s="27" t="s">
        <v>144</v>
      </c>
      <c r="K26" s="29"/>
      <c r="L26" s="29"/>
      <c r="M26" s="29"/>
    </row>
    <row r="27" ht="15.0" customHeight="1">
      <c r="A27" s="30">
        <v>1.0</v>
      </c>
      <c r="B27" s="15"/>
      <c r="C27" s="10" t="s">
        <v>145</v>
      </c>
      <c r="D27" s="18" t="s">
        <v>146</v>
      </c>
      <c r="E27" s="11" t="s">
        <v>147</v>
      </c>
      <c r="F27" s="18" t="s">
        <v>148</v>
      </c>
      <c r="G27" s="8"/>
      <c r="H27" s="31" t="s">
        <v>149</v>
      </c>
      <c r="I27" s="18"/>
      <c r="J27" s="13"/>
      <c r="K27" s="31" t="s">
        <v>150</v>
      </c>
      <c r="L27" s="32"/>
      <c r="M27" s="32"/>
    </row>
    <row r="28" ht="15.0" customHeight="1">
      <c r="A28" s="30">
        <v>2.0</v>
      </c>
      <c r="B28" s="15"/>
      <c r="C28" s="10" t="s">
        <v>145</v>
      </c>
      <c r="D28" s="18" t="s">
        <v>151</v>
      </c>
      <c r="E28" s="11" t="s">
        <v>147</v>
      </c>
      <c r="F28" s="18" t="s">
        <v>152</v>
      </c>
      <c r="G28" s="32"/>
      <c r="H28" s="33" t="s">
        <v>153</v>
      </c>
      <c r="I28" s="8" t="s">
        <v>154</v>
      </c>
      <c r="J28" s="8" t="s">
        <v>155</v>
      </c>
      <c r="K28" s="31" t="s">
        <v>156</v>
      </c>
      <c r="L28" s="32"/>
      <c r="M28" s="18"/>
    </row>
    <row r="29" ht="15.0" customHeight="1">
      <c r="A29" s="30">
        <v>3.0</v>
      </c>
      <c r="B29" s="15"/>
      <c r="C29" s="10" t="s">
        <v>145</v>
      </c>
      <c r="D29" s="12" t="s">
        <v>157</v>
      </c>
      <c r="E29" s="11"/>
      <c r="F29" s="12" t="s">
        <v>93</v>
      </c>
      <c r="G29" s="21"/>
      <c r="H29" s="17" t="s">
        <v>158</v>
      </c>
      <c r="I29" s="12"/>
      <c r="K29" s="17" t="s">
        <v>159</v>
      </c>
      <c r="M29" s="34"/>
    </row>
    <row r="30" ht="15.0" customHeight="1">
      <c r="A30" s="35">
        <v>4.0</v>
      </c>
      <c r="B30" s="15"/>
      <c r="C30" s="10"/>
      <c r="D30" s="12"/>
      <c r="E30" s="11"/>
      <c r="F30" s="8"/>
      <c r="G30" s="21"/>
      <c r="H30" s="8"/>
      <c r="I30" s="8"/>
      <c r="J30" s="13"/>
      <c r="K30" s="8"/>
      <c r="L30" s="13"/>
      <c r="M30" s="13"/>
    </row>
    <row r="31" ht="15.0" customHeight="1">
      <c r="A31" s="36"/>
      <c r="B31" s="37" t="s">
        <v>160</v>
      </c>
      <c r="C31" s="38"/>
      <c r="D31" s="39" t="s">
        <v>136</v>
      </c>
      <c r="E31" s="38"/>
      <c r="F31" s="40"/>
      <c r="G31" s="36"/>
      <c r="H31" s="36"/>
      <c r="I31" s="36"/>
      <c r="J31" s="36"/>
      <c r="K31" s="40"/>
      <c r="L31" s="36"/>
      <c r="M31" s="36"/>
    </row>
    <row r="32" ht="15.0" customHeight="1">
      <c r="A32" s="36"/>
      <c r="B32" s="41"/>
      <c r="C32" s="38"/>
      <c r="D32" s="42"/>
      <c r="E32" s="38"/>
      <c r="F32" s="36"/>
      <c r="G32" s="36"/>
      <c r="H32" s="36"/>
      <c r="I32" s="36"/>
      <c r="J32" s="36"/>
      <c r="K32" s="36"/>
      <c r="L32" s="36"/>
      <c r="M32" s="36"/>
    </row>
    <row r="33" ht="15.0" customHeight="1">
      <c r="A33" s="13"/>
      <c r="B33" s="43"/>
      <c r="C33" s="43"/>
      <c r="D33" s="13"/>
      <c r="E33" s="44"/>
      <c r="F33" s="13"/>
      <c r="G33" s="13"/>
      <c r="H33" s="13"/>
      <c r="I33" s="13"/>
      <c r="J33" s="13"/>
      <c r="K33" s="13"/>
      <c r="L33" s="13"/>
      <c r="M33" s="13"/>
    </row>
    <row r="34" ht="15.0" customHeight="1">
      <c r="A34" s="13"/>
      <c r="B34" s="43"/>
      <c r="C34" s="43"/>
      <c r="E34" s="44"/>
      <c r="F34" s="13"/>
      <c r="G34" s="13"/>
      <c r="H34" s="13"/>
      <c r="I34" s="13"/>
      <c r="J34" s="13"/>
      <c r="K34" s="13"/>
      <c r="L34" s="13"/>
      <c r="M34" s="13"/>
    </row>
    <row r="35" ht="15.0" customHeight="1">
      <c r="A35" s="13"/>
      <c r="B35" s="43"/>
      <c r="C35" s="43"/>
      <c r="D35" s="13"/>
      <c r="E35" s="44"/>
      <c r="F35" s="13"/>
      <c r="G35" s="13"/>
      <c r="H35" s="13"/>
      <c r="I35" s="13"/>
      <c r="J35" s="13"/>
      <c r="K35" s="13"/>
      <c r="L35" s="13"/>
      <c r="M35" s="13"/>
    </row>
    <row r="36" ht="15.0" customHeight="1">
      <c r="A36" s="13"/>
      <c r="B36" s="43"/>
      <c r="C36" s="43"/>
      <c r="D36" s="13"/>
      <c r="E36" s="44"/>
      <c r="F36" s="13"/>
      <c r="G36" s="13"/>
      <c r="H36" s="13"/>
      <c r="I36" s="13"/>
      <c r="J36" s="13"/>
      <c r="K36" s="13"/>
      <c r="L36" s="13"/>
      <c r="M36" s="13"/>
    </row>
    <row r="37" ht="15.0" customHeight="1">
      <c r="A37" s="5" t="s">
        <v>161</v>
      </c>
    </row>
    <row r="38" ht="15.0" customHeight="1">
      <c r="A38" s="35">
        <v>1.0</v>
      </c>
      <c r="B38" s="45">
        <v>0.7083333333333334</v>
      </c>
      <c r="C38" s="10" t="s">
        <v>145</v>
      </c>
      <c r="D38" s="8" t="s">
        <v>162</v>
      </c>
      <c r="E38" s="11" t="s">
        <v>17</v>
      </c>
      <c r="F38" s="8" t="s">
        <v>163</v>
      </c>
      <c r="G38" s="8" t="s">
        <v>164</v>
      </c>
      <c r="H38" s="46" t="str">
        <f>HYPERLINK("http://billab.io/tipo/copyright-reform-act-2015#proposed-15","http://billab.io/tipo/copyright-reform-act-2015#proposed-15")</f>
        <v>http://billab.io/tipo/copyright-reform-act-2015#proposed-15</v>
      </c>
      <c r="I38" s="8"/>
      <c r="J38" s="8"/>
      <c r="K38" s="8"/>
      <c r="L38" s="13"/>
      <c r="M38" s="8"/>
    </row>
    <row r="39" ht="15.0" customHeight="1">
      <c r="A39" s="35">
        <v>2.0</v>
      </c>
      <c r="B39" s="47" t="s">
        <v>165</v>
      </c>
      <c r="C39" s="10" t="s">
        <v>145</v>
      </c>
      <c r="D39" s="8" t="s">
        <v>39</v>
      </c>
      <c r="E39" s="11" t="s">
        <v>17</v>
      </c>
      <c r="F39" s="8" t="s">
        <v>53</v>
      </c>
      <c r="G39" s="8" t="s">
        <v>164</v>
      </c>
      <c r="H39" s="16" t="s">
        <v>54</v>
      </c>
      <c r="I39" s="14" t="s">
        <v>55</v>
      </c>
      <c r="J39" s="8"/>
      <c r="K39" s="8"/>
      <c r="L39" s="13"/>
      <c r="M39" s="8"/>
    </row>
    <row r="40" ht="15.0" customHeight="1">
      <c r="A40" s="35">
        <v>3.0</v>
      </c>
      <c r="B40" s="47" t="s">
        <v>166</v>
      </c>
      <c r="C40" s="10" t="s">
        <v>145</v>
      </c>
      <c r="D40" s="8" t="s">
        <v>167</v>
      </c>
      <c r="E40" s="11" t="s">
        <v>17</v>
      </c>
      <c r="F40" s="8" t="s">
        <v>168</v>
      </c>
      <c r="G40" s="8"/>
      <c r="H40" s="16" t="s">
        <v>169</v>
      </c>
      <c r="I40" s="8"/>
      <c r="J40" s="8"/>
      <c r="K40" s="8"/>
      <c r="L40" s="13"/>
      <c r="M40" s="13"/>
    </row>
    <row r="41" ht="15.0" customHeight="1">
      <c r="A41" s="35">
        <v>4.0</v>
      </c>
      <c r="B41" s="47" t="s">
        <v>170</v>
      </c>
      <c r="C41" s="10" t="s">
        <v>145</v>
      </c>
      <c r="D41" s="8" t="s">
        <v>78</v>
      </c>
      <c r="E41" s="11" t="s">
        <v>17</v>
      </c>
      <c r="F41" s="14" t="s">
        <v>79</v>
      </c>
      <c r="G41" s="21" t="s">
        <v>80</v>
      </c>
      <c r="H41" s="19" t="s">
        <v>81</v>
      </c>
      <c r="I41" s="8"/>
      <c r="J41" s="13"/>
      <c r="K41" s="8"/>
      <c r="L41" s="13"/>
      <c r="M41" s="13"/>
    </row>
    <row r="42" ht="15.0" customHeight="1">
      <c r="A42" s="35">
        <v>5.0</v>
      </c>
      <c r="B42" s="47" t="s">
        <v>171</v>
      </c>
      <c r="C42" s="10" t="s">
        <v>145</v>
      </c>
      <c r="D42" s="8" t="s">
        <v>172</v>
      </c>
      <c r="E42" s="11" t="s">
        <v>17</v>
      </c>
      <c r="F42" s="8" t="s">
        <v>173</v>
      </c>
      <c r="G42" s="8"/>
      <c r="H42" s="16" t="s">
        <v>174</v>
      </c>
      <c r="I42" s="13"/>
      <c r="J42" s="13"/>
      <c r="K42" s="8"/>
      <c r="L42" s="13"/>
      <c r="M42" s="13"/>
    </row>
    <row r="43" ht="15.0" customHeight="1">
      <c r="A43" s="35">
        <v>6.0</v>
      </c>
      <c r="B43" s="47" t="s">
        <v>175</v>
      </c>
      <c r="C43" s="10" t="s">
        <v>145</v>
      </c>
      <c r="D43" s="8" t="s">
        <v>111</v>
      </c>
      <c r="E43" s="11" t="s">
        <v>176</v>
      </c>
      <c r="F43" s="8" t="s">
        <v>112</v>
      </c>
      <c r="G43" s="8"/>
      <c r="H43" s="16" t="s">
        <v>177</v>
      </c>
      <c r="I43" s="8"/>
      <c r="J43" s="13"/>
      <c r="K43" s="8"/>
      <c r="L43" s="13"/>
      <c r="M43" s="13"/>
    </row>
    <row r="44" ht="15.0" customHeight="1">
      <c r="A44" s="35">
        <v>7.0</v>
      </c>
      <c r="B44" s="47" t="s">
        <v>178</v>
      </c>
      <c r="C44" s="10" t="s">
        <v>145</v>
      </c>
      <c r="D44" s="8" t="s">
        <v>179</v>
      </c>
      <c r="E44" s="11" t="s">
        <v>176</v>
      </c>
      <c r="F44" s="8" t="s">
        <v>71</v>
      </c>
      <c r="G44" s="8" t="s">
        <v>72</v>
      </c>
      <c r="H44" s="16" t="s">
        <v>180</v>
      </c>
      <c r="I44" s="12" t="s">
        <v>181</v>
      </c>
      <c r="J44" s="8"/>
      <c r="K44" s="8"/>
      <c r="L44" s="13"/>
      <c r="M44" s="13"/>
    </row>
    <row r="45" ht="15.0" customHeight="1">
      <c r="A45" s="35">
        <v>8.0</v>
      </c>
      <c r="B45" s="47" t="s">
        <v>182</v>
      </c>
      <c r="C45" s="10" t="s">
        <v>145</v>
      </c>
      <c r="D45" s="12" t="s">
        <v>183</v>
      </c>
      <c r="E45" s="11" t="s">
        <v>17</v>
      </c>
      <c r="F45" s="8" t="s">
        <v>184</v>
      </c>
      <c r="G45" s="8" t="s">
        <v>164</v>
      </c>
      <c r="H45" s="16" t="s">
        <v>185</v>
      </c>
      <c r="I45" s="8" t="s">
        <v>186</v>
      </c>
      <c r="J45" s="8"/>
      <c r="K45" s="8"/>
      <c r="L45" s="13"/>
      <c r="M45" s="13"/>
    </row>
    <row r="46" ht="15.0" customHeight="1">
      <c r="A46" s="35">
        <v>9.0</v>
      </c>
      <c r="B46" s="47" t="s">
        <v>187</v>
      </c>
      <c r="C46" s="10" t="s">
        <v>145</v>
      </c>
      <c r="D46" s="8" t="s">
        <v>188</v>
      </c>
      <c r="E46" s="11" t="s">
        <v>17</v>
      </c>
      <c r="F46" s="8" t="s">
        <v>189</v>
      </c>
      <c r="G46" s="8"/>
      <c r="H46" s="17" t="s">
        <v>190</v>
      </c>
      <c r="I46" s="8"/>
      <c r="J46" s="13"/>
      <c r="K46" s="8"/>
      <c r="L46" s="13"/>
      <c r="M46" s="16" t="s">
        <v>191</v>
      </c>
    </row>
    <row r="47" ht="15.0" customHeight="1">
      <c r="A47" s="35">
        <v>10.0</v>
      </c>
      <c r="B47" s="47" t="s">
        <v>192</v>
      </c>
      <c r="C47" s="10" t="s">
        <v>145</v>
      </c>
      <c r="D47" s="12" t="s">
        <v>32</v>
      </c>
      <c r="E47" s="11" t="s">
        <v>17</v>
      </c>
      <c r="F47" s="18" t="s">
        <v>193</v>
      </c>
      <c r="G47" s="8"/>
      <c r="H47" s="16" t="s">
        <v>34</v>
      </c>
      <c r="I47" s="13"/>
      <c r="J47" s="13"/>
      <c r="K47" s="13"/>
      <c r="L47" s="13"/>
      <c r="M47" s="13"/>
    </row>
    <row r="48" ht="15.0" customHeight="1">
      <c r="A48" s="35">
        <v>11.0</v>
      </c>
      <c r="B48" s="47" t="s">
        <v>194</v>
      </c>
      <c r="C48" s="10" t="s">
        <v>145</v>
      </c>
      <c r="D48" s="8" t="s">
        <v>66</v>
      </c>
      <c r="E48" s="11" t="s">
        <v>17</v>
      </c>
      <c r="F48" s="8" t="s">
        <v>67</v>
      </c>
      <c r="G48" s="8"/>
      <c r="H48" s="16" t="s">
        <v>68</v>
      </c>
      <c r="I48" s="8" t="s">
        <v>195</v>
      </c>
      <c r="J48" s="13"/>
      <c r="K48" s="8"/>
      <c r="L48" s="13"/>
      <c r="M48" s="13"/>
    </row>
    <row r="49" ht="15.0" customHeight="1">
      <c r="A49" s="35">
        <v>12.0</v>
      </c>
      <c r="B49" s="47" t="s">
        <v>196</v>
      </c>
      <c r="C49" s="10" t="s">
        <v>145</v>
      </c>
      <c r="D49" s="8" t="s">
        <v>98</v>
      </c>
      <c r="E49" s="11" t="s">
        <v>17</v>
      </c>
      <c r="F49" s="8" t="s">
        <v>197</v>
      </c>
      <c r="G49" s="12" t="s">
        <v>198</v>
      </c>
      <c r="H49" s="16" t="s">
        <v>119</v>
      </c>
      <c r="I49" s="12"/>
      <c r="J49" s="8"/>
      <c r="K49" s="8"/>
      <c r="L49" s="13"/>
      <c r="M49" s="13"/>
    </row>
    <row r="50" ht="15.0" customHeight="1">
      <c r="A50" s="35">
        <v>13.0</v>
      </c>
      <c r="B50" s="47" t="s">
        <v>199</v>
      </c>
      <c r="C50" s="43"/>
      <c r="D50" s="8" t="s">
        <v>200</v>
      </c>
      <c r="E50" s="11" t="s">
        <v>17</v>
      </c>
      <c r="F50" s="8" t="s">
        <v>201</v>
      </c>
      <c r="G50" s="8"/>
      <c r="H50" s="8"/>
      <c r="I50" s="8"/>
      <c r="J50" s="8"/>
      <c r="K50" s="8"/>
      <c r="L50" s="13"/>
      <c r="M50" s="13"/>
    </row>
    <row r="51" ht="15.0" customHeight="1">
      <c r="A51" s="48"/>
      <c r="B51" s="49"/>
      <c r="C51" s="49"/>
      <c r="D51" s="50" t="s">
        <v>202</v>
      </c>
      <c r="E51" s="48"/>
      <c r="F51" s="48"/>
      <c r="G51" s="48"/>
      <c r="H51" s="48"/>
      <c r="I51" s="48"/>
      <c r="J51" s="48"/>
      <c r="K51" s="48"/>
      <c r="L51" s="48"/>
      <c r="M51" s="48"/>
    </row>
    <row r="52" ht="15.0" customHeight="1">
      <c r="C52" s="51"/>
      <c r="D52" s="12"/>
      <c r="E52" s="44"/>
      <c r="F52" s="12"/>
      <c r="H52" s="12"/>
      <c r="I52" s="12"/>
    </row>
    <row r="53" ht="15.0" customHeight="1">
      <c r="A53" s="52"/>
      <c r="B53" s="15"/>
      <c r="C53" s="51"/>
      <c r="E53" s="44"/>
    </row>
    <row r="54" ht="15.0" customHeight="1">
      <c r="A54" s="14"/>
      <c r="C54" s="51"/>
      <c r="K54" s="13"/>
      <c r="L54" s="13"/>
      <c r="M54" s="13"/>
    </row>
  </sheetData>
  <mergeCells count="5">
    <mergeCell ref="A2:M2"/>
    <mergeCell ref="A3:C3"/>
    <mergeCell ref="D3:J3"/>
    <mergeCell ref="A25:M25"/>
    <mergeCell ref="A37:M37"/>
  </mergeCells>
  <hyperlinks>
    <hyperlink r:id="rId2" ref="D3"/>
    <hyperlink r:id="rId3" ref="H5"/>
    <hyperlink r:id="rId4" ref="K5"/>
    <hyperlink r:id="rId5" ref="M5"/>
    <hyperlink r:id="rId6" ref="H7"/>
    <hyperlink r:id="rId7" ref="K7"/>
    <hyperlink r:id="rId8" ref="H8"/>
    <hyperlink r:id="rId9" ref="K8"/>
    <hyperlink r:id="rId10" location="slide=id.ga122bd45a_1_58" ref="M8"/>
    <hyperlink r:id="rId11" ref="H9"/>
    <hyperlink r:id="rId12" ref="K9"/>
    <hyperlink r:id="rId13" ref="M9"/>
    <hyperlink r:id="rId14" ref="H10"/>
    <hyperlink r:id="rId15" ref="K10"/>
    <hyperlink r:id="rId16" ref="M10"/>
    <hyperlink r:id="rId17" ref="H11"/>
    <hyperlink r:id="rId18" ref="K11"/>
    <hyperlink r:id="rId19" ref="M11"/>
    <hyperlink r:id="rId20" ref="H12"/>
    <hyperlink r:id="rId21" ref="K12"/>
    <hyperlink r:id="rId22" ref="M12"/>
    <hyperlink r:id="rId23" ref="H13"/>
    <hyperlink r:id="rId24" ref="K13"/>
    <hyperlink r:id="rId25" ref="H14"/>
    <hyperlink r:id="rId26" ref="K14"/>
    <hyperlink r:id="rId27" location="0" ref="M14"/>
    <hyperlink r:id="rId28" ref="H15"/>
    <hyperlink r:id="rId29" ref="K15"/>
    <hyperlink r:id="rId30" ref="H16"/>
    <hyperlink r:id="rId31" ref="K16"/>
    <hyperlink r:id="rId32" ref="M16"/>
    <hyperlink r:id="rId33" ref="K17"/>
    <hyperlink r:id="rId34" ref="H18"/>
    <hyperlink r:id="rId35" ref="K18"/>
    <hyperlink r:id="rId36" ref="H19"/>
    <hyperlink r:id="rId37" ref="K19"/>
    <hyperlink r:id="rId38" ref="K20"/>
    <hyperlink r:id="rId39" ref="H21"/>
    <hyperlink r:id="rId40" ref="K21"/>
    <hyperlink r:id="rId41" ref="H22"/>
    <hyperlink r:id="rId42" ref="K22"/>
    <hyperlink r:id="rId43" ref="H23"/>
    <hyperlink r:id="rId44" ref="K23"/>
    <hyperlink r:id="rId45" ref="H27"/>
    <hyperlink r:id="rId46" ref="K27"/>
    <hyperlink r:id="rId47" ref="H28"/>
    <hyperlink r:id="rId48" ref="K28"/>
    <hyperlink r:id="rId49" ref="H29"/>
    <hyperlink r:id="rId50" ref="K29"/>
    <hyperlink r:id="rId51" ref="H39"/>
    <hyperlink r:id="rId52" ref="H40"/>
    <hyperlink r:id="rId53" ref="H41"/>
    <hyperlink r:id="rId54" ref="H42"/>
    <hyperlink r:id="rId55" ref="H43"/>
    <hyperlink r:id="rId56" ref="H44"/>
    <hyperlink r:id="rId57" ref="H45"/>
    <hyperlink r:id="rId58" ref="H46"/>
    <hyperlink r:id="rId59" ref="M46"/>
    <hyperlink r:id="rId60" ref="H47"/>
    <hyperlink r:id="rId61" ref="H48"/>
    <hyperlink r:id="rId62" ref="H49"/>
  </hyperlinks>
  <drawing r:id="rId63"/>
  <legacy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53">
        <v>107.0</v>
      </c>
      <c r="J1" s="53">
        <v>101.0</v>
      </c>
      <c r="Q1" s="54">
        <v>108.0</v>
      </c>
    </row>
    <row r="2" ht="39.0" customHeight="1">
      <c r="A2" s="43"/>
      <c r="B2" s="55" t="s">
        <v>203</v>
      </c>
      <c r="C2" s="56"/>
      <c r="D2" s="56"/>
      <c r="E2" s="56"/>
      <c r="F2" s="56"/>
      <c r="G2" s="57"/>
      <c r="H2" s="43"/>
      <c r="I2" s="43"/>
      <c r="J2" s="58" t="s">
        <v>204</v>
      </c>
      <c r="K2" s="56"/>
      <c r="L2" s="56"/>
      <c r="M2" s="56"/>
      <c r="N2" s="56"/>
      <c r="O2" s="43"/>
      <c r="P2" s="43"/>
      <c r="Q2" s="59" t="s">
        <v>205</v>
      </c>
      <c r="R2" s="43"/>
      <c r="S2" s="59" t="s">
        <v>204</v>
      </c>
      <c r="V2" s="43"/>
    </row>
    <row r="3" ht="39.0" customHeight="1">
      <c r="A3" s="60"/>
      <c r="B3" s="61"/>
      <c r="C3" s="61"/>
      <c r="D3" s="61"/>
      <c r="E3" s="61"/>
      <c r="F3" s="61"/>
      <c r="G3" s="62"/>
      <c r="H3" s="63"/>
      <c r="I3" s="60"/>
      <c r="J3" s="61"/>
      <c r="K3" s="64" t="s">
        <v>206</v>
      </c>
      <c r="M3" s="64" t="s">
        <v>112</v>
      </c>
      <c r="N3" s="61"/>
      <c r="O3" s="63"/>
      <c r="P3" s="43"/>
      <c r="Q3" s="61"/>
      <c r="R3" s="61"/>
      <c r="S3" s="61"/>
      <c r="T3" s="61"/>
      <c r="U3" s="61"/>
      <c r="V3" s="43"/>
    </row>
    <row r="4" ht="39.0" customHeight="1">
      <c r="A4" s="60"/>
      <c r="B4" s="61"/>
      <c r="C4" s="61"/>
      <c r="D4" s="61"/>
      <c r="E4" s="61"/>
      <c r="F4" s="61"/>
      <c r="G4" s="65" t="s">
        <v>207</v>
      </c>
      <c r="H4" s="63"/>
      <c r="I4" s="60"/>
      <c r="J4" s="61"/>
      <c r="K4" s="61"/>
      <c r="L4" s="64"/>
      <c r="M4" s="66"/>
      <c r="N4" s="61"/>
      <c r="O4" s="63"/>
      <c r="P4" s="43"/>
      <c r="Q4" s="61"/>
      <c r="R4" s="61"/>
      <c r="S4" s="64"/>
      <c r="T4" s="66"/>
      <c r="U4" s="64" t="s">
        <v>208</v>
      </c>
      <c r="V4" s="43"/>
    </row>
    <row r="5" ht="39.0" customHeight="1">
      <c r="A5" s="60"/>
      <c r="B5" s="61"/>
      <c r="C5" s="61"/>
      <c r="D5" s="61"/>
      <c r="E5" s="61"/>
      <c r="F5" s="61"/>
      <c r="G5" s="61"/>
      <c r="H5" s="63"/>
      <c r="I5" s="60"/>
      <c r="J5" s="61"/>
      <c r="K5" s="61"/>
      <c r="L5" s="64" t="s">
        <v>209</v>
      </c>
      <c r="M5" s="61"/>
      <c r="N5" s="64" t="s">
        <v>210</v>
      </c>
      <c r="O5" s="63"/>
      <c r="P5" s="43"/>
      <c r="Q5" s="61"/>
      <c r="R5" s="61"/>
      <c r="S5" s="64"/>
      <c r="T5" s="61"/>
      <c r="U5" s="61"/>
      <c r="V5" s="43"/>
    </row>
    <row r="6" ht="39.0" customHeight="1">
      <c r="A6" s="60"/>
      <c r="B6" s="61"/>
      <c r="C6" s="61"/>
      <c r="D6" s="61"/>
      <c r="E6" s="66"/>
      <c r="F6" s="61"/>
      <c r="G6" s="62"/>
      <c r="H6" s="63"/>
      <c r="I6" s="60"/>
      <c r="J6" s="61"/>
      <c r="K6" s="61"/>
      <c r="L6" s="64"/>
      <c r="M6" s="61"/>
      <c r="N6" s="61"/>
      <c r="O6" s="63"/>
      <c r="P6" s="43"/>
      <c r="Q6" s="61"/>
      <c r="R6" s="61"/>
      <c r="S6" s="64"/>
      <c r="T6" s="61"/>
      <c r="U6" s="61"/>
      <c r="V6" s="43"/>
    </row>
    <row r="7" ht="39.0" customHeight="1">
      <c r="A7" s="60"/>
      <c r="B7" s="61"/>
      <c r="C7" s="67"/>
      <c r="D7" s="61"/>
      <c r="E7" s="61"/>
      <c r="F7" s="61"/>
      <c r="G7" s="65" t="s">
        <v>205</v>
      </c>
      <c r="H7" s="63"/>
      <c r="I7" s="60"/>
      <c r="J7" s="61"/>
      <c r="K7" s="61"/>
      <c r="L7" s="64" t="s">
        <v>211</v>
      </c>
      <c r="M7" s="61"/>
      <c r="N7" s="61"/>
      <c r="O7" s="63"/>
      <c r="P7" s="43"/>
      <c r="Q7" s="61"/>
      <c r="R7" s="61"/>
      <c r="S7" s="64"/>
      <c r="T7" s="61"/>
      <c r="U7" s="61"/>
      <c r="V7" s="43"/>
    </row>
    <row r="8" ht="39.0" customHeight="1">
      <c r="A8" s="60"/>
      <c r="B8" s="61"/>
      <c r="C8" s="68"/>
      <c r="D8" s="61"/>
      <c r="E8" s="61"/>
      <c r="F8" s="61"/>
      <c r="G8" s="61"/>
      <c r="H8" s="69"/>
      <c r="I8" s="70" t="s">
        <v>205</v>
      </c>
      <c r="J8" s="61"/>
      <c r="K8" s="61"/>
      <c r="L8" s="64" t="s">
        <v>211</v>
      </c>
      <c r="M8" s="61"/>
      <c r="N8" s="61"/>
      <c r="O8" s="63"/>
      <c r="P8" s="43"/>
      <c r="Q8" s="61"/>
      <c r="R8" s="61"/>
      <c r="T8" s="61"/>
      <c r="U8" s="61"/>
      <c r="V8" s="43"/>
    </row>
    <row r="9" ht="39.0" customHeight="1">
      <c r="A9" s="60"/>
      <c r="B9" s="61"/>
      <c r="C9" s="61"/>
      <c r="D9" s="61"/>
      <c r="E9" s="61"/>
      <c r="F9" s="61"/>
      <c r="G9" s="61"/>
      <c r="H9" s="63"/>
      <c r="I9" s="60"/>
      <c r="J9" s="61"/>
      <c r="K9" s="61"/>
      <c r="L9" s="61"/>
      <c r="M9" s="61"/>
      <c r="N9" s="62"/>
      <c r="O9" s="63"/>
      <c r="P9" s="43"/>
      <c r="Q9" s="61"/>
      <c r="R9" s="61"/>
      <c r="S9" s="61"/>
      <c r="T9" s="61"/>
      <c r="U9" s="62"/>
      <c r="V9" s="43"/>
    </row>
    <row r="10" ht="39.0" customHeight="1">
      <c r="A10" s="43"/>
      <c r="B10" s="71"/>
      <c r="C10" s="71"/>
      <c r="D10" s="71"/>
      <c r="E10" s="71"/>
      <c r="F10" s="71"/>
      <c r="G10" s="71"/>
      <c r="H10" s="43"/>
      <c r="I10" s="43"/>
      <c r="J10" s="71"/>
      <c r="K10" s="71"/>
      <c r="L10" s="71"/>
      <c r="M10" s="71"/>
      <c r="N10" s="71"/>
      <c r="O10" s="43"/>
      <c r="P10" s="43"/>
      <c r="Q10" s="43"/>
      <c r="R10" s="43"/>
      <c r="S10" s="43"/>
      <c r="T10" s="43"/>
      <c r="U10" s="43"/>
      <c r="V10" s="43"/>
    </row>
    <row r="11" ht="39.0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ht="39.0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ht="39.0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ht="39.0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ht="39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ht="39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ht="39.0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ht="39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ht="39.0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ht="39.0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ht="39.0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ht="39.0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ht="39.0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ht="39.0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ht="39.0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ht="39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ht="39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ht="39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ht="39.0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39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ht="39.0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ht="39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ht="39.0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ht="39.0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ht="39.0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ht="39.0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ht="39.0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ht="39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ht="39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ht="39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ht="39.0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ht="39.0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ht="39.0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ht="39.0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ht="39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ht="39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ht="39.0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ht="39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ht="39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ht="39.0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ht="39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ht="39.0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ht="39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ht="39.0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ht="39.0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ht="39.0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ht="39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ht="39.0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ht="39.0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ht="39.0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ht="39.0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ht="39.0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ht="39.0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ht="39.0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ht="39.0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ht="39.0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ht="39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ht="39.0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ht="39.0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ht="39.0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ht="39.0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ht="39.0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ht="39.0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ht="39.0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ht="39.0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ht="39.0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ht="39.0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ht="39.0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ht="39.0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ht="39.0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ht="39.0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ht="39.0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ht="39.0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ht="39.0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ht="39.0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ht="39.0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ht="39.0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ht="39.0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ht="39.0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ht="39.0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ht="39.0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ht="39.0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ht="39.0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ht="39.0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ht="39.0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ht="39.0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ht="39.0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ht="39.0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ht="39.0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ht="39.0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ht="39.0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</sheetData>
  <mergeCells count="6">
    <mergeCell ref="B1:F1"/>
    <mergeCell ref="J1:N1"/>
    <mergeCell ref="Q1:U1"/>
    <mergeCell ref="B2:F2"/>
    <mergeCell ref="J2:N2"/>
    <mergeCell ref="S2:U2"/>
  </mergeCells>
  <drawing r:id="rId1"/>
</worksheet>
</file>