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<sst xmlns="http://schemas.openxmlformats.org/spreadsheetml/2006/main" count="327" uniqueCount="206">
  <si>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</si>
  <si>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</si>
  <si>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</si>
  <si>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</si>
  <si>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</si>
  <si>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</si>
  <si>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</si>
  <si>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</si>
  <si>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r>
      <rPr>
        <b/>
        <sz val="9.0"/>
      </rPr>
      <t xml:space="preserve">g0v Podcast
</t>
    </r>
    <r>
      <rPr>
        <b/>
        <color rgb="FF1155CC"/>
        <sz val="9.0"/>
      </rPr>
      <t>松後推坑電台</t>
    </r>
    <r>
      <rPr>
        <b/>
        <sz val="9.0"/>
      </rPr>
      <t xml:space="preserve">
受訪意願? (Y/?)</t>
    </r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</si>
  <si>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</si>
  <si>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</si>
  <si>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</si>
  <si>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</si>
  <si>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</si>
  <si>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</si>
  <si>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</si>
  <si>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</si>
  <si>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youtube title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</si>
  <si>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</si>
  <si>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</si>
  <si>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>揪松團</t>
  </si>
  <si>
    <t>實體出席</t>
  </si>
  <si>
    <t>開場</t>
  </si>
  <si>
    <t>感謝 台灣資訊環境研究中心 IORG 贊助本次大松 😇</t>
  </si>
  <si>
    <t>https://docs.google.com/presentation/d/1Z9h5gJkCF70iq9k3rJlnZAT6bd9AC1OxwTpOquU5IxI/edit?usp=sharing</t>
  </si>
  <si>
    <t>Dong</t>
  </si>
  <si>
    <t>Y</t>
  </si>
  <si>
    <t>AMO ── An Agenda Maker Based on Opass Schedule Format</t>
  </si>
  <si>
    <t>一個將議程資料，轉換成好看議程表的小工具（使用 Opass 資料結構）</t>
  </si>
  <si>
    <t>CC-BY</t>
  </si>
  <si>
    <t>https://hackmd.io/@Dong-/AMO/https%3A%2F%2Fg0v.hackmd.io%2FtTYHgZPnR960R3Q-q4RkUQ</t>
  </si>
  <si>
    <t>https://g0v.hackmd.io/@WbB98FoNTsivbcUIrjQILQ/SkegDsPuC#/</t>
  </si>
  <si>
    <t>開源 Conf, 設計師, Summit 2024</t>
  </si>
  <si>
    <t>設計師, 曾參與籌辦各大開源 Conf 的朋友, 會 ReactJS 的人</t>
  </si>
  <si>
    <t>g0v slack #amo- 
@Dong</t>
  </si>
  <si>
    <t>ziaosen</t>
  </si>
  <si>
    <t>實體</t>
  </si>
  <si>
    <t>星河計畫-自學生經驗匯流</t>
  </si>
  <si>
    <t xml:space="preserve"> </t>
  </si>
  <si>
    <t>https://galacticproject.notion.site/40485be542274bb3936b0972a21b673f?pvs=4</t>
  </si>
  <si>
    <t>https://galacticproject.notion.site/</t>
  </si>
  <si>
    <t>自學生, 經驗開放, 詮釋資料</t>
  </si>
  <si>
    <t>notion UIUX, 社群經營, 各種意見</t>
  </si>
  <si>
    <t xml:space="preserve">@ziaosen </t>
  </si>
  <si>
    <t>chewei, 任翔 Sean</t>
  </si>
  <si>
    <t>Collage</t>
  </si>
  <si>
    <t>一秒變身空間設計師 ! 空間改造的網頁工具</t>
  </si>
  <si>
    <t>GNU GPL V3</t>
  </si>
  <si>
    <t>https://github.com/SeanGau/city-collage</t>
  </si>
  <si>
    <t>https://collage.collective.tw</t>
  </si>
  <si>
    <t>空間改造的畫面創作, 網頁工具, 公眾可以使用</t>
  </si>
  <si>
    <t>工程師 (程式使用 python3 flask 做框架), 網頁推廣的活動企劃</t>
  </si>
  <si>
    <t>g0v Slack #joinplus
@chewei</t>
  </si>
  <si>
    <t>bil</t>
  </si>
  <si>
    <t>Cofacts 真的假的 &amp; Open165</t>
  </si>
  <si>
    <t>Cofacts 在旁邊修issue 跟查核假資訊／讓 165 反詐資訊在搜尋引擎上打敗二次詐騙</t>
  </si>
  <si>
    <t>MIT, 
CC-BY-SA</t>
  </si>
  <si>
    <t>y</t>
  </si>
  <si>
    <t>https://cofacts.tw/hack</t>
  </si>
  <si>
    <t>https://docs.google.com/presentation/d/1ivYoq6-urRHUYQw92Rm1Y2tIM4F98NTS1EMGXbcs6z4/edit#slide=id.g28caf866bb2_1_0</t>
  </si>
  <si>
    <t>程式開發、事實查核、搜尋引擎最佳化</t>
  </si>
  <si>
    <t>會 Google 找資料的人
會 NodeJS / ReactJS 的人
SEO 高手、UI / UX Designer</t>
  </si>
  <si>
    <t>g0v slack #cofacts @mrorz @bil</t>
  </si>
  <si>
    <t>Ronny</t>
  </si>
  <si>
    <t>台灣人的開放國會行動方案</t>
  </si>
  <si>
    <t>來收集台灣人對開放國會的想像吧！</t>
  </si>
  <si>
    <t>https://g0v.hackmd.io/@SA7CD7VRSp6Fcqw9CaElcQ/SJ93ZW5XR/%2F8uTwZDmoR_yHT_Z-ahUYWw</t>
  </si>
  <si>
    <t>https://docs.google.com/presentation/d/1S8bZWYAvyweEFHVt6frD7NXpCAV8xC1OQTZdVIRZUn4/edit#slide=id.p</t>
  </si>
  <si>
    <t>Tofus</t>
  </si>
  <si>
    <t>#design</t>
  </si>
  <si>
    <t>一起來切豆腐！</t>
  </si>
  <si>
    <t>https://g0v.hackmd.io/DlyCaahFR9-yA41PlAoBzQ</t>
  </si>
  <si>
    <t>https://www.figma.com/deck/YlBxRUV5nff75CEaQUiYDJ/0720?node-id=1-53&amp;viewport=139%2C-17%2C0.54&amp;t=hY65vpKKMm2LQMo4-1&amp;scaling=min-zoom&amp;content-scaling=fixed&amp;page-id=0%3A1</t>
  </si>
  <si>
    <t>Peter</t>
  </si>
  <si>
    <t>數位公共參與工具survey與議題小聚</t>
  </si>
  <si>
    <t>一起來找世界上有哪些數位公共參與的工具！</t>
  </si>
  <si>
    <t xml:space="preserve">Y </t>
  </si>
  <si>
    <t>https://g0v.hackmd.io/@Pno233SAS8G5UfL5OvSRmA/SkXZk8UdR</t>
  </si>
  <si>
    <t>https://docs.google.com/presentation/d/1iDZK7apnp-pw6vId-rRHeSfol8DpRddycU_S3HBQcMk/edit?usp=sharing</t>
  </si>
  <si>
    <t>v</t>
  </si>
  <si>
    <t>公共討論、數位工具研究、審議式民主</t>
  </si>
  <si>
    <t>對於數位公共參與工具有興趣的人、對於審議式民主與議題討論有興趣的人、想要更有效討論公共議題的人</t>
  </si>
  <si>
    <t xml:space="preserve">g0v slack #vtaiwan 
@peter </t>
  </si>
  <si>
    <t>宏信</t>
  </si>
  <si>
    <t>Linux Odyssey</t>
  </si>
  <si>
    <t>給開發者的電腦入門課</t>
  </si>
  <si>
    <t>GPL</t>
  </si>
  <si>
    <t>https://g0v.hackmd.io/@wancat/linux-odyssey-0720</t>
  </si>
  <si>
    <t>https://www.canva.com/design/DAGLXdS36Io/a3PKwW01Zo6YIMclVJLEgw/view?utm_content=DAGLXdS36Io&amp;utm_campaign=designshare&amp;utm_medium=link&amp;utm_source=editor</t>
  </si>
  <si>
    <t>資訊教育、指令教學、遊戲化學習</t>
  </si>
  <si>
    <t>設計師、前端開發者、教育工作者、程式初學者</t>
  </si>
  <si>
    <t>https://matrix.to/#/#linux-odyssey:linchpins.cloud</t>
  </si>
  <si>
    <t>OKHand</t>
  </si>
  <si>
    <t>ChanceTix</t>
  </si>
  <si>
    <t>一起打造台灣售票平台的淨土</t>
  </si>
  <si>
    <t>程式碼：AGPL-3.0
文件： CC-BY-SA</t>
  </si>
  <si>
    <t>https://g0v.hackmd.io/A4Vqa-T6QoqwIsKcz2NIXw?view</t>
  </si>
  <si>
    <t>https://docs.google.com/presentation/d/18wddOPBj_I-S17uo0DpoSuVStynUGLpaSg7ZcmCEZ44/edit?usp=sharing</t>
  </si>
  <si>
    <t>反黃牛, 售票系統, 非營利組織</t>
  </si>
  <si>
    <t>Web前後端, UIUX, 有開發過售票平台, 有串過金流平台 , 有興趣交流與參與的人</t>
  </si>
  <si>
    <t xml:space="preserve">@OKHand ZiYu </t>
  </si>
  <si>
    <t>冰川</t>
  </si>
  <si>
    <t>APCS Guide</t>
  </si>
  <si>
    <t>一起建立一個高品質的程式學習平台！</t>
  </si>
  <si>
    <t>https://hackmd.io/@c_I6awIzTxyxIF6PaOEtSg/Hkp_PcuOR</t>
  </si>
  <si>
    <t>https://slides.com/dada878/deck-b2f99c</t>
  </si>
  <si>
    <t>教育創新、線上學習平台、APCS</t>
  </si>
  <si>
    <t>UI / UX、Next.js 前端、任何後端、有興趣參與討論或提供意見的人</t>
  </si>
  <si>
    <t>@dada878</t>
  </si>
  <si>
    <t>T</t>
  </si>
  <si>
    <t>論證-公共議題論述匯整平台</t>
  </si>
  <si>
    <t>一同建立高品質的公共議題論述匯整平台，化解分歧並凝聚社會共識！</t>
  </si>
  <si>
    <t>MIT</t>
  </si>
  <si>
    <t>https://docs.google.com/presentation/d/1SAW5gS00zzU8J9yy_shwWZ605N0fqStcc1-qfXOat3k/edit?usp=sharing</t>
  </si>
  <si>
    <t>資訊視覺化、AI、事實查核</t>
  </si>
  <si>
    <t>UI/UX、前後端開發人員、希望提升台灣社會民主韌性的人</t>
  </si>
  <si>
    <t>@T
g0v slack  #statement_proof-論證平台</t>
  </si>
  <si>
    <t>isabel</t>
  </si>
  <si>
    <t>jothon</t>
  </si>
  <si>
    <t>g0v 首頁社群治理頁面</t>
  </si>
  <si>
    <t>https://g0v.hackmd.io/Ki8oBtnjTjitnyp84ckYbA?view</t>
  </si>
  <si>
    <t>鄭淑麗</t>
  </si>
  <si>
    <t>一屋兩賣</t>
  </si>
  <si>
    <t>https://docs.google.com/presentation/d/1NWnHCVZ-g7eLKy70jdUsP6IY4IR0AQum/edit?usp=sharing&amp;ouid=117196307703279761842&amp;rtpof=true&amp;sd=true</t>
  </si>
  <si>
    <t>Eli</t>
  </si>
  <si>
    <t>司法判決資料庫</t>
  </si>
  <si>
    <t>dodgydogg/judical_data_tw (github.com)</t>
  </si>
  <si>
    <t>@Eli</t>
  </si>
  <si>
    <t>Zoey</t>
  </si>
  <si>
    <t>台灣 AI 共創實驗室</t>
  </si>
  <si>
    <t>AI 價值對齊專案</t>
  </si>
  <si>
    <t>https://docs.google.com/document/d/1x7sOW1ZxyHrkuRqZShvVUgT03-WEVnJ3fHL-3wzccIg/edit?tab=t.0#heading=h.jjrgrg9jdgqd</t>
  </si>
  <si>
    <t>https://docs.google.com/spreadsheets/d/1gzjCVPMnH7VC4OGtQ38ecTAaxWuBT-6r-hqVzdWbbwc/edit?usp=sharing</t>
  </si>
  <si>
    <t>== 截止 ==</t>
  </si>
  <si>
    <t>14:30【8分鐘短講報名】
每個 present 8min，分享議題、專案、研究、技術皆可。</t>
  </si>
  <si>
    <t>順序</t>
  </si>
  <si>
    <t>發表時間（自填）</t>
  </si>
  <si>
    <t>發表者</t>
  </si>
  <si>
    <t>短講形式
Form</t>
  </si>
  <si>
    <t>錄影以 CC-BY 釋出?</t>
  </si>
  <si>
    <t>主題</t>
  </si>
  <si>
    <t xml:space="preserve">短講授權
Talk License </t>
  </si>
  <si>
    <r>
      <rPr>
        <b/>
        <sz val="10.0"/>
      </rPr>
      <t xml:space="preserve">是否授權上架 </t>
    </r>
    <r>
      <rPr>
        <b/>
        <color rgb="FF1155CC"/>
        <sz val="10.0"/>
        <u/>
      </rPr>
      <t>大松實況電台</t>
    </r>
    <r>
      <rPr>
        <b/>
        <sz val="10.0"/>
      </rPr>
      <t>?(Y/?)</t>
    </r>
  </si>
  <si>
    <t>相關連結</t>
  </si>
  <si>
    <t>三個關鍵字</t>
  </si>
  <si>
    <t>專案徵人</t>
  </si>
  <si>
    <t>Stamford</t>
  </si>
  <si>
    <t>預錄影片</t>
  </si>
  <si>
    <t>$LOCAL</t>
  </si>
  <si>
    <t>地方互助系統 （前“影響力市場”）</t>
  </si>
  <si>
    <r>
      <rPr/>
      <t xml:space="preserve">預錄影片 - </t>
    </r>
    <r>
      <rPr>
        <color rgb="FF1155CC"/>
        <u/>
      </rPr>
      <t>https://youtu.be/Ou0S2GMrbPI</t>
    </r>
    <r>
      <rPr/>
      <t xml:space="preserve"> 
測試網站 - </t>
    </r>
    <r>
      <rPr>
        <color rgb="FF1155CC"/>
        <u/>
      </rPr>
      <t>https://arm0ry.g0v.tw/playground/</t>
    </r>
  </si>
  <si>
    <t>區塊鏈、社區發展、地方互助</t>
  </si>
  <si>
    <t>Slack: @Stamford 
Slack 頻道: #arm0ry</t>
  </si>
  <si>
    <t>Karen</t>
  </si>
  <si>
    <t>2024臺北秋季程式設計節</t>
  </si>
  <si>
    <t>以「台北通」為經驗，運用開放原始碼方式，舉辦「2024臺北程式設計節」，廣邀各界高手，在良好基礎上提出創意方案，藉此優化台北通模擬器</t>
  </si>
  <si>
    <t>https://codefest.taipei/</t>
  </si>
  <si>
    <t>https://drive.google.com/file/d/1jIesIhr6zIgp6Oey6U9tNo4QECmcxUw5/view?usp=sharing</t>
  </si>
  <si>
    <t>開源競賽、公私協力、數據驅動生活</t>
  </si>
  <si>
    <t>Jamie's Gap Year Program</t>
  </si>
  <si>
    <t>跟社群的大家解釋一下為什麼今年會休學，以及休學之後到底要幹嘛</t>
  </si>
  <si>
    <t>https://g0v.hackmd.io/@tofus/gapyear/https%3A%2F%2Fg0v.hackmd.io%2F%40tofus%2Fgapyear</t>
  </si>
  <si>
    <t>JGP, Bluesky, civictech</t>
  </si>
  <si>
    <t>公民科技專案與社群手冊</t>
  </si>
  <si>
    <t>g0v 公民科技專案與社群手冊</t>
  </si>
  <si>
    <t>https://g0v.hackmd.io/@jothon/ctpbook</t>
  </si>
  <si>
    <t>https://g0v.hackmd.io/@summit2024/notes/%2FzdVFxFC1Rhu84TyBQiLbtQ</t>
  </si>
  <si>
    <t>civic tech, handbook, 國際經驗交流</t>
  </si>
  <si>
    <t>g0v slack #jothon 頻道</t>
  </si>
  <si>
    <t>本期開放4位8分鐘</t>
  </si>
  <si>
    <t>16:10【 present project】 規則：
每個 present 5min，可視 project 數量和剩餘時間調整</t>
  </si>
  <si>
    <t>Zoey + 黃惠貞</t>
  </si>
  <si>
    <t>台灣 AI 教育共創實驗室</t>
  </si>
  <si>
    <t xml:space="preserve"> 給 AI 的多輪問答題目分享</t>
  </si>
  <si>
    <t>https://docs.google.com/spreadsheets/d/1R1uKNdTzaiiWxc0K2c7SIj5eFSKscHYHz5-wneem1_g/edit?gid=1167343817#gid=1167343817</t>
  </si>
  <si>
    <t>chewei</t>
  </si>
  <si>
    <t>好連街 - 連續型行人路徑繪製步驟</t>
  </si>
  <si>
    <t>https://g0v.hackmd.io/ErnTx4HXSly3E0I9J0zOxQ</t>
  </si>
  <si>
    <t>貝吉樂＋MrOrz</t>
  </si>
  <si>
    <t>Cofacts</t>
  </si>
  <si>
    <t>Cofacts 本日有小學生貢獻＋open 165有css</t>
  </si>
  <si>
    <t>荊輔翔</t>
  </si>
  <si>
    <t>數位韌性松</t>
  </si>
  <si>
    <t>meshtastic, 數位韌性松</t>
  </si>
  <si>
    <t>https://docs.google.com/presentation/d/1YdNWhUEk9KKbeyaiPmt04auEin59SnqxIbbDnvaB9Bc/edit?usp=sharing</t>
  </si>
  <si>
    <t>https://docs.google.com/presentation/d/1zKJWqDbgqM3rjycOIBqE9utvRHy2_piIzPa_hwmbNas/edit?usp=sharing</t>
  </si>
  <si>
    <t>國會松</t>
  </si>
  <si>
    <t>開放國會行動方案整理 &amp; 國會松預告</t>
  </si>
  <si>
    <t>https://docs.google.com/presentation/d/1S8bZWYAvyweEFHVt6frD7NXpCAV8xC1OQTZdVIRZUn4/edit#slide=id.g2ed3cfb9d0f_0_0</t>
  </si>
  <si>
    <t>專案建議整理 &amp; 近期實作規劃</t>
  </si>
  <si>
    <t>整理司法院公開資料，變成人可以用的狀態</t>
  </si>
  <si>
    <t>https://docs.google.com/presentation/d/1BF6RKt5Ji78sQ35jPhljYnHtM1bhkzj_V3IormY2l98/edit?usp=sharing</t>
  </si>
  <si>
    <t>Python、SQL、法律、資料科學</t>
  </si>
  <si>
    <t>ichieh</t>
  </si>
  <si>
    <r>
      <rPr>
        <color rgb="FF1155CC"/>
        <sz val="10.0"/>
        <u/>
      </rPr>
      <t>g0v.tw</t>
    </r>
    <r>
      <rPr>
        <color rgb="FF000000"/>
        <sz val="10.0"/>
      </rPr>
      <t xml:space="preserve"> 社群治理頁面</t>
    </r>
  </si>
  <si>
    <t>增加 g0v 社群的各種共識和治理機制曝光</t>
  </si>
  <si>
    <t>https://g0v.tw/intl/zh-TW/g0vernance/</t>
  </si>
  <si>
    <t>歡迎大家填寫影響力問卷</t>
  </si>
  <si>
    <t>https://bit.ly/0123g0vsurvey</t>
  </si>
  <si>
    <t>開場場地 舞台</t>
  </si>
  <si>
    <t>門</t>
  </si>
  <si>
    <t>白板</t>
  </si>
  <si>
    <t xml:space="preserve"> 門</t>
  </si>
  <si>
    <t>AMO/
Summit紀念品處理方案</t>
  </si>
  <si>
    <t>cofacts/ OPEN 165</t>
  </si>
  <si>
    <t>食物區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</si>
</sst>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b/>
      <sz val="9.0"/>
      <color rgb="FF0000FF"/>
    </font>
    <font>
      <color rgb="FFFF9900"/>
    </font>
    <font>
      <sz val="10.0"/>
      <color rgb="FF000000"/>
    </font>
    <font/>
    <font>
      <color rgb="FF0000FF"/>
    </font>
    <font>
      <sz val="9.0"/>
      <color rgb="FF008000"/>
      <name val="&quot;Google Sans Mono&quot;"/>
    </font>
    <font>
      <u/>
      <color rgb="FF0000FF"/>
    </font>
    <font>
      <name val="Arial"/>
    </font>
    <font>
      <u/>
      <color rgb="FF0000FF"/>
    </font>
    <font>
      <sz val="10.0"/>
    </font>
    <font>
      <u/>
      <color rgb="FF0000FF"/>
      <name val="Arial"/>
    </font>
    <font>
      <u/>
      <color rgb="FF0000FF"/>
    </font>
    <font>
      <color rgb="FF000000"/>
      <name val="Arial"/>
    </font>
    <font>
      <b/>
      <u/>
      <sz val="10.0"/>
      <color rgb="FF0000FF"/>
    </font>
    <font>
      <u/>
      <color rgb="FF0000FF"/>
    </font>
    <font>
      <u/>
      <sz val="12.0"/>
      <color rgb="FF0000FF"/>
    </font>
    <font>
      <u/>
      <color rgb="FF000000"/>
    </font>
    <font>
      <sz val="11.0"/>
    </font>
    <font>
      <u/>
      <sz val="10.0"/>
      <color rgb="FF0000FF"/>
    </font>
    <font>
      <u/>
      <color rgb="FFCAE4F7"/>
    </font>
    <font>
      <u/>
      <sz val="10.0"/>
      <color rgb="FF000000"/>
    </font>
    <font>
      <u/>
      <sz val="10.0"/>
      <color rgb="FF0000FF"/>
    </font>
    <font>
      <sz val="14.0"/>
    </font>
    <font>
      <sz val="12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6" fontId="10" numFmtId="0" xfId="0" applyAlignment="1" applyFill="1" applyFont="1">
      <alignment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5" fontId="8" numFmtId="20" xfId="0" applyAlignment="1" applyFont="1" applyNumberFormat="1">
      <alignment horizontal="center" readingOrder="0" shrinkToFit="0" vertical="center" wrapText="1"/>
    </xf>
    <xf borderId="0" fillId="5" fontId="8" numFmtId="0" xfId="0" applyAlignment="1" applyFont="1">
      <alignment readingOrder="0" shrinkToFit="0" vertical="center" wrapText="1"/>
    </xf>
    <xf borderId="0" fillId="5" fontId="8" numFmtId="0" xfId="0" applyAlignment="1" applyFont="1">
      <alignment readingOrder="0" shrinkToFit="0" vertical="center" wrapText="1"/>
    </xf>
    <xf borderId="0" fillId="5" fontId="8" numFmtId="0" xfId="0" applyAlignment="1" applyFont="1">
      <alignment shrinkToFit="0" vertical="center" wrapText="1"/>
    </xf>
    <xf borderId="0" fillId="5" fontId="10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6" fontId="17" numFmtId="0" xfId="0" applyAlignment="1" applyFont="1">
      <alignment horizontal="center" readingOrder="0"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6" fontId="14" numFmtId="0" xfId="0" applyAlignment="1" applyFont="1">
      <alignment horizontal="left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quotePrefix="1" borderId="0" fillId="0" fontId="8" numFmtId="0" xfId="0" applyAlignment="1" applyFont="1">
      <alignment readingOrder="0" shrinkToFit="0" vertical="center" wrapText="1"/>
    </xf>
    <xf borderId="1" fillId="4" fontId="2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7" fontId="8" numFmtId="0" xfId="0" applyAlignment="1" applyFill="1" applyFont="1">
      <alignment shrinkToFit="0" vertical="center" wrapText="1"/>
    </xf>
    <xf borderId="0" fillId="7" fontId="14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horizontal="center" shrinkToFit="0" vertical="center" wrapText="1"/>
    </xf>
    <xf quotePrefix="1" borderId="0" fillId="7" fontId="14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6" fontId="23" numFmtId="0" xfId="0" applyAlignment="1" applyFont="1">
      <alignment horizontal="left" readingOrder="0" shrinkToFit="0" vertical="center" wrapText="1"/>
    </xf>
    <xf borderId="0" fillId="6" fontId="14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6" fontId="26" numFmtId="0" xfId="0" applyAlignment="1" applyFont="1">
      <alignment horizontal="left" readingOrder="0" shrinkToFit="0" vertical="center" wrapText="1"/>
    </xf>
    <xf borderId="0" fillId="9" fontId="8" numFmtId="0" xfId="0" applyAlignment="1" applyFill="1" applyFont="1">
      <alignment shrinkToFit="0" vertical="center" wrapText="1"/>
    </xf>
    <xf borderId="0" fillId="9" fontId="8" numFmtId="0" xfId="0" applyAlignment="1" applyFont="1">
      <alignment horizontal="center" shrinkToFit="0" vertical="center" wrapText="1"/>
    </xf>
    <xf borderId="0" fillId="9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1"/>
    </xf>
    <xf borderId="2" fillId="0" fontId="27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 shrinkToFit="0" vertical="center" wrapText="1"/>
    </xf>
    <xf borderId="2" fillId="0" fontId="27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4" fillId="1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wrapText="1"/>
    </xf>
    <xf borderId="1" fillId="10" fontId="8" numFmtId="0" xfId="0" applyAlignment="1" applyBorder="1" applyFont="1">
      <alignment shrinkToFit="0" wrapText="1"/>
    </xf>
    <xf borderId="1" fillId="0" fontId="29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10" fontId="17" numFmtId="0" xfId="0" applyAlignment="1" applyBorder="1" applyFont="1">
      <alignment horizontal="center" readingOrder="0" shrinkToFit="0" vertical="center" wrapText="1"/>
    </xf>
    <xf borderId="5" fillId="10" fontId="17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facts.tw/hack" TargetMode="External"/><Relationship Id="rId42" Type="http://schemas.openxmlformats.org/officeDocument/2006/relationships/hyperlink" Target="https://docs.google.com/presentation/d/1YdNWhUEk9KKbeyaiPmt04auEin59SnqxIbbDnvaB9Bc/edit?usp=sharing" TargetMode="External"/><Relationship Id="rId41" Type="http://schemas.openxmlformats.org/officeDocument/2006/relationships/hyperlink" Target="https://cofacts.tw/hack" TargetMode="External"/><Relationship Id="rId44" Type="http://schemas.openxmlformats.org/officeDocument/2006/relationships/hyperlink" Target="https://docs.google.com/presentation/d/1zKJWqDbgqM3rjycOIBqE9utvRHy2_piIzPa_hwmbNas/edit?usp=sharing" TargetMode="External"/><Relationship Id="rId43" Type="http://schemas.openxmlformats.org/officeDocument/2006/relationships/hyperlink" Target="https://g0v.hackmd.io/A4Vqa-T6QoqwIsKcz2NIXw?view" TargetMode="External"/><Relationship Id="rId46" Type="http://schemas.openxmlformats.org/officeDocument/2006/relationships/hyperlink" Target="https://docs.google.com/presentation/d/1iDZK7apnp-pw6vId-rRHeSfol8DpRddycU_S3HBQcMk/edit?usp=sharing" TargetMode="External"/><Relationship Id="rId45" Type="http://schemas.openxmlformats.org/officeDocument/2006/relationships/hyperlink" Target="https://g0v.hackmd.io/@Pno233SAS8G5UfL5OvSRmA/SkXZk8UdR" TargetMode="External"/><Relationship Id="rId1" Type="http://schemas.openxmlformats.org/officeDocument/2006/relationships/hyperlink" Target="https://g0v.hackmd.io/@jothon/BJ6ymwPfT" TargetMode="External"/><Relationship Id="rId2" Type="http://schemas.openxmlformats.org/officeDocument/2006/relationships/hyperlink" Target="https://docs.google.com/presentation/d/1Z9h5gJkCF70iq9k3rJlnZAT6bd9AC1OxwTpOquU5IxI/edit?usp=sharing" TargetMode="External"/><Relationship Id="rId3" Type="http://schemas.openxmlformats.org/officeDocument/2006/relationships/hyperlink" Target="https://hackmd.io/@Dong-/AMO/https%3A%2F%2Fg0v.hackmd.io%2FtTYHgZPnR960R3Q-q4RkUQ" TargetMode="External"/><Relationship Id="rId4" Type="http://schemas.openxmlformats.org/officeDocument/2006/relationships/hyperlink" Target="https://g0v.hackmd.io/@WbB98FoNTsivbcUIrjQILQ/SkegDsPuC" TargetMode="External"/><Relationship Id="rId9" Type="http://schemas.openxmlformats.org/officeDocument/2006/relationships/hyperlink" Target="https://cofacts.tw/hack" TargetMode="External"/><Relationship Id="rId48" Type="http://schemas.openxmlformats.org/officeDocument/2006/relationships/hyperlink" Target="https://docs.google.com/presentation/d/1SAW5gS00zzU8J9yy_shwWZ605N0fqStcc1-qfXOat3k/edit?usp=sharing" TargetMode="External"/><Relationship Id="rId47" Type="http://schemas.openxmlformats.org/officeDocument/2006/relationships/hyperlink" Target="https://docs.google.com/presentation/d/1S8bZWYAvyweEFHVt6frD7NXpCAV8xC1OQTZdVIRZUn4/edit" TargetMode="External"/><Relationship Id="rId49" Type="http://schemas.openxmlformats.org/officeDocument/2006/relationships/hyperlink" Target="https://docs.google.com/presentation/d/1BF6RKt5Ji78sQ35jPhljYnHtM1bhkzj_V3IormY2l98/edit?usp=sharing" TargetMode="External"/><Relationship Id="rId5" Type="http://schemas.openxmlformats.org/officeDocument/2006/relationships/hyperlink" Target="https://galacticproject.notion.site/40485be542274bb3936b0972a21b673f?pvs=4" TargetMode="External"/><Relationship Id="rId6" Type="http://schemas.openxmlformats.org/officeDocument/2006/relationships/hyperlink" Target="https://galacticproject.notion.site/" TargetMode="External"/><Relationship Id="rId7" Type="http://schemas.openxmlformats.org/officeDocument/2006/relationships/hyperlink" Target="https://github.com/SeanGau/city-collage" TargetMode="External"/><Relationship Id="rId8" Type="http://schemas.openxmlformats.org/officeDocument/2006/relationships/hyperlink" Target="https://collage.collective.tw/" TargetMode="External"/><Relationship Id="rId31" Type="http://schemas.openxmlformats.org/officeDocument/2006/relationships/hyperlink" Target="https://g0v.hackmd.io/@jothon/HJxLTdOLw6" TargetMode="External"/><Relationship Id="rId30" Type="http://schemas.openxmlformats.org/officeDocument/2006/relationships/hyperlink" Target="https://docs.google.com/spreadsheets/d/1gzjCVPMnH7VC4OGtQ38ecTAaxWuBT-6r-hqVzdWbbwc/edit?usp=sharing" TargetMode="External"/><Relationship Id="rId33" Type="http://schemas.openxmlformats.org/officeDocument/2006/relationships/hyperlink" Target="https://codefest.taipei/" TargetMode="External"/><Relationship Id="rId32" Type="http://schemas.openxmlformats.org/officeDocument/2006/relationships/hyperlink" Target="https://youtu.be/Ou0S2GMrbPI" TargetMode="External"/><Relationship Id="rId35" Type="http://schemas.openxmlformats.org/officeDocument/2006/relationships/hyperlink" Target="https://g0v.hackmd.io/@tofus/gapyear/https%3A%2F%2Fg0v.hackmd.io%2F%40tofus%2Fgapyear" TargetMode="External"/><Relationship Id="rId34" Type="http://schemas.openxmlformats.org/officeDocument/2006/relationships/hyperlink" Target="https://drive.google.com/file/d/1jIesIhr6zIgp6Oey6U9tNo4QECmcxUw5/view?usp=sharing" TargetMode="External"/><Relationship Id="rId37" Type="http://schemas.openxmlformats.org/officeDocument/2006/relationships/hyperlink" Target="https://g0v.hackmd.io/@summit2024/notes/%2FzdVFxFC1Rhu84TyBQiLbtQ" TargetMode="External"/><Relationship Id="rId36" Type="http://schemas.openxmlformats.org/officeDocument/2006/relationships/hyperlink" Target="https://g0v.hackmd.io/@jothon/ctpbook" TargetMode="External"/><Relationship Id="rId39" Type="http://schemas.openxmlformats.org/officeDocument/2006/relationships/hyperlink" Target="https://g0v.hackmd.io/ErnTx4HXSly3E0I9J0zOxQ" TargetMode="External"/><Relationship Id="rId38" Type="http://schemas.openxmlformats.org/officeDocument/2006/relationships/hyperlink" Target="https://docs.google.com/spreadsheets/d/1R1uKNdTzaiiWxc0K2c7SIj5eFSKscHYHz5-wneem1_g/edit?gid=1167343817" TargetMode="External"/><Relationship Id="rId20" Type="http://schemas.openxmlformats.org/officeDocument/2006/relationships/hyperlink" Target="https://g0v.hackmd.io/A4Vqa-T6QoqwIsKcz2NIXw?view" TargetMode="External"/><Relationship Id="rId22" Type="http://schemas.openxmlformats.org/officeDocument/2006/relationships/hyperlink" Target="https://hackmd.io/@c_I6awIzTxyxIF6PaOEtSg/Hkp_PcuOR" TargetMode="External"/><Relationship Id="rId21" Type="http://schemas.openxmlformats.org/officeDocument/2006/relationships/hyperlink" Target="https://docs.google.com/presentation/d/18wddOPBj_I-S17uo0DpoSuVStynUGLpaSg7ZcmCEZ44/edit?usp=sharing" TargetMode="External"/><Relationship Id="rId24" Type="http://schemas.openxmlformats.org/officeDocument/2006/relationships/hyperlink" Target="https://docs.google.com/presentation/d/1SAW5gS00zzU8J9yy_shwWZ605N0fqStcc1-qfXOat3k/edit?usp=sharing" TargetMode="External"/><Relationship Id="rId23" Type="http://schemas.openxmlformats.org/officeDocument/2006/relationships/hyperlink" Target="https://slides.com/dada878/deck-b2f99c" TargetMode="External"/><Relationship Id="rId26" Type="http://schemas.openxmlformats.org/officeDocument/2006/relationships/hyperlink" Target="https://g0v.hackmd.io/Ki8oBtnjTjitnyp84ckYbA?view" TargetMode="External"/><Relationship Id="rId25" Type="http://schemas.openxmlformats.org/officeDocument/2006/relationships/hyperlink" Target="https://g0v.hackmd.io/Ki8oBtnjTjitnyp84ckYbA?view" TargetMode="External"/><Relationship Id="rId28" Type="http://schemas.openxmlformats.org/officeDocument/2006/relationships/hyperlink" Target="https://github.com/dodgydogg/judical_data_tw" TargetMode="External"/><Relationship Id="rId27" Type="http://schemas.openxmlformats.org/officeDocument/2006/relationships/hyperlink" Target="https://docs.google.com/presentation/d/1NWnHCVZ-g7eLKy70jdUsP6IY4IR0AQum/edit?usp=sharing&amp;ouid=117196307703279761842&amp;rtpof=true&amp;sd=true" TargetMode="External"/><Relationship Id="rId29" Type="http://schemas.openxmlformats.org/officeDocument/2006/relationships/hyperlink" Target="https://docs.google.com/document/d/1x7sOW1ZxyHrkuRqZShvVUgT03-WEVnJ3fHL-3wzccIg/edit?tab=t.0" TargetMode="External"/><Relationship Id="rId51" Type="http://schemas.openxmlformats.org/officeDocument/2006/relationships/hyperlink" Target="https://g0v.hackmd.io/Ki8oBtnjTjitnyp84ckYbA?view" TargetMode="External"/><Relationship Id="rId50" Type="http://schemas.openxmlformats.org/officeDocument/2006/relationships/hyperlink" Target="http://g0v.tw/" TargetMode="External"/><Relationship Id="rId53" Type="http://schemas.openxmlformats.org/officeDocument/2006/relationships/hyperlink" Target="https://bit.ly/0123g0vsurvey" TargetMode="External"/><Relationship Id="rId52" Type="http://schemas.openxmlformats.org/officeDocument/2006/relationships/hyperlink" Target="https://g0v.tw/intl/zh-TW/g0vernance/" TargetMode="External"/><Relationship Id="rId11" Type="http://schemas.openxmlformats.org/officeDocument/2006/relationships/hyperlink" Target="https://g0v.hackmd.io/@SA7CD7VRSp6Fcqw9CaElcQ/SJ93ZW5XR/%2F8uTwZDmoR_yHT_Z-ahUYWw" TargetMode="External"/><Relationship Id="rId10" Type="http://schemas.openxmlformats.org/officeDocument/2006/relationships/hyperlink" Target="https://docs.google.com/presentation/d/1ivYoq6-urRHUYQw92Rm1Y2tIM4F98NTS1EMGXbcs6z4/edit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g0v.hackmd.io/DlyCaahFR9-yA41PlAoBzQ" TargetMode="External"/><Relationship Id="rId12" Type="http://schemas.openxmlformats.org/officeDocument/2006/relationships/hyperlink" Target="https://docs.google.com/presentation/d/1S8bZWYAvyweEFHVt6frD7NXpCAV8xC1OQTZdVIRZUn4/edit" TargetMode="External"/><Relationship Id="rId15" Type="http://schemas.openxmlformats.org/officeDocument/2006/relationships/hyperlink" Target="https://g0v.hackmd.io/@Pno233SAS8G5UfL5OvSRmA/SkXZk8UdR" TargetMode="External"/><Relationship Id="rId14" Type="http://schemas.openxmlformats.org/officeDocument/2006/relationships/hyperlink" Target="https://www.figma.com/deck/YlBxRUV5nff75CEaQUiYDJ/0720?node-id=1-53&amp;viewport=139%2C-17%2C0.54&amp;t=hY65vpKKMm2LQMo4-1&amp;scaling=min-zoom&amp;content-scaling=fixed&amp;page-id=0%3A1" TargetMode="External"/><Relationship Id="rId17" Type="http://schemas.openxmlformats.org/officeDocument/2006/relationships/hyperlink" Target="https://g0v.hackmd.io/@wancat/linux-odyssey-0720" TargetMode="External"/><Relationship Id="rId16" Type="http://schemas.openxmlformats.org/officeDocument/2006/relationships/hyperlink" Target="https://docs.google.com/presentation/d/1iDZK7apnp-pw6vId-rRHeSfol8DpRddycU_S3HBQcMk/edit?usp=sharing" TargetMode="External"/><Relationship Id="rId19" Type="http://schemas.openxmlformats.org/officeDocument/2006/relationships/hyperlink" Target="https://matrix.to/#/#linux-odyssey:linchpins.cloud" TargetMode="External"/><Relationship Id="rId18" Type="http://schemas.openxmlformats.org/officeDocument/2006/relationships/hyperlink" Target="https://www.canva.com/design/DAGLXdS36Io/a3PKwW01Zo6YIMclVJLEgw/view?utm_content=DAGLXdS36Io&amp;utm_campaign=designshare&amp;utm_medium=link&amp;utm_source=edito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9.75"/>
    <col customWidth="1" min="6" max="6" width="6.13"/>
    <col customWidth="1" min="7" max="7" width="14.0"/>
    <col customWidth="1" min="8" max="8" width="30.38"/>
    <col customWidth="1" min="9" max="10" width="12.0"/>
    <col customWidth="1" min="11" max="11" width="23.25"/>
    <col customWidth="1" min="12" max="12" width="28.38"/>
    <col customWidth="1" min="13" max="13" width="17.5"/>
    <col customWidth="1" min="14" max="14" width="21.0"/>
    <col customWidth="1" min="15" max="15" width="22.5"/>
    <col customWidth="1" min="16" max="16" width="32.38"/>
    <col customWidth="1" min="17" max="17" width="15.5"/>
    <col customWidth="1" min="18" max="20" width="18.13"/>
  </cols>
  <sheetData>
    <row r="1" ht="23.25" hidden="1" customHeight="1">
      <c r="A1" s="1"/>
      <c r="P1" s="1"/>
      <c r="Q1" s="2"/>
      <c r="R1" s="2"/>
      <c r="S1" s="2"/>
      <c r="T1" s="2"/>
    </row>
    <row r="2" ht="15.0" customHeight="1">
      <c r="A2" s="3"/>
      <c r="B2" s="3" t="s">
        <v>0</v>
      </c>
      <c r="C2" s="4" t="s">
        <v>1</v>
      </c>
      <c r="D2" s="3" t="s">
        <v>2</v>
      </c>
      <c r="E2" s="3" t="s">
        <v>3</v>
      </c>
      <c r="F2" s="5" t="s">
        <v>4</v>
      </c>
      <c r="G2" s="3" t="s">
        <v>5</v>
      </c>
      <c r="H2" s="3" t="s">
        <v>6</v>
      </c>
      <c r="I2" s="3" t="s">
        <v>7</v>
      </c>
      <c r="J2" s="6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7" t="s">
        <v>16</v>
      </c>
      <c r="S2" s="3" t="s">
        <v>17</v>
      </c>
      <c r="T2" s="3"/>
    </row>
    <row r="3" ht="15.0" customHeight="1">
      <c r="A3" s="8" t="s">
        <v>18</v>
      </c>
      <c r="S3" s="8"/>
      <c r="T3" s="8"/>
    </row>
    <row r="4" ht="15.0" customHeight="1">
      <c r="A4" s="9" t="s">
        <v>19</v>
      </c>
      <c r="P4" s="9"/>
      <c r="Q4" s="9"/>
      <c r="R4" s="9"/>
      <c r="S4" s="10"/>
      <c r="T4" s="9"/>
    </row>
    <row r="5" ht="22.5" customHeight="1">
      <c r="A5" s="11">
        <v>0.0</v>
      </c>
      <c r="B5" s="12">
        <v>0.3958333333333333</v>
      </c>
      <c r="C5" s="13"/>
      <c r="D5" s="14" t="s">
        <v>20</v>
      </c>
      <c r="E5" s="14" t="s">
        <v>21</v>
      </c>
      <c r="F5" s="15"/>
      <c r="G5" s="14" t="s">
        <v>22</v>
      </c>
      <c r="H5" s="14" t="s">
        <v>23</v>
      </c>
      <c r="I5" s="14"/>
      <c r="J5" s="13"/>
      <c r="K5" s="16" t="s">
        <v>24</v>
      </c>
      <c r="L5" s="17"/>
      <c r="M5" s="18"/>
      <c r="N5" s="14"/>
      <c r="O5" s="14"/>
      <c r="P5" s="14"/>
      <c r="Q5" s="14"/>
      <c r="R5" s="19"/>
      <c r="S5" s="20" t="str">
        <f t="shared" ref="S5:S25" si="1">"g0v tw hackath62n — 提案 — "&amp;G5&amp;" ／ "&amp;D5&amp;" —  帶我去月球黑客松"</f>
        <v>g0v tw hackath62n — 提案 — 開場 ／ 揪松團 —  帶我去月球黑客松</v>
      </c>
      <c r="T5" s="20"/>
    </row>
    <row r="6" ht="22.5" customHeight="1">
      <c r="A6" s="21"/>
      <c r="B6" s="22"/>
      <c r="C6" s="18"/>
      <c r="D6" s="23"/>
      <c r="E6" s="23"/>
      <c r="F6" s="18"/>
      <c r="G6" s="23"/>
      <c r="H6" s="23"/>
      <c r="I6" s="23"/>
      <c r="J6" s="18"/>
      <c r="K6" s="24"/>
      <c r="L6" s="24"/>
      <c r="M6" s="18"/>
      <c r="N6" s="23"/>
      <c r="O6" s="23"/>
      <c r="P6" s="23"/>
      <c r="Q6" s="23"/>
      <c r="R6" s="25"/>
      <c r="S6" s="26" t="str">
        <f t="shared" si="1"/>
        <v>g0v tw hackath62n — 提案 —  ／  —  帶我去月球黑客松</v>
      </c>
      <c r="T6" s="26"/>
    </row>
    <row r="7" ht="15.0" customHeight="1">
      <c r="A7" s="11">
        <v>1.0</v>
      </c>
      <c r="B7" s="12">
        <v>0.4027777777777778</v>
      </c>
      <c r="C7" s="13"/>
      <c r="D7" s="14" t="s">
        <v>25</v>
      </c>
      <c r="E7" s="14" t="s">
        <v>21</v>
      </c>
      <c r="F7" s="15" t="s">
        <v>26</v>
      </c>
      <c r="G7" s="14" t="s">
        <v>27</v>
      </c>
      <c r="H7" s="14" t="s">
        <v>28</v>
      </c>
      <c r="I7" s="14" t="s">
        <v>29</v>
      </c>
      <c r="J7" s="13" t="s">
        <v>26</v>
      </c>
      <c r="K7" s="27" t="s">
        <v>30</v>
      </c>
      <c r="L7" s="27" t="s">
        <v>31</v>
      </c>
      <c r="M7" s="18" t="s">
        <v>26</v>
      </c>
      <c r="N7" s="14" t="s">
        <v>32</v>
      </c>
      <c r="O7" s="14" t="s">
        <v>33</v>
      </c>
      <c r="P7" s="28" t="s">
        <v>34</v>
      </c>
      <c r="Q7" s="14"/>
      <c r="R7" s="19"/>
      <c r="S7" s="20" t="str">
        <f t="shared" si="1"/>
        <v>g0v tw hackath62n — 提案 — AMO ── An Agenda Maker Based on Opass Schedule Format ／ Dong —  帶我去月球黑客松</v>
      </c>
      <c r="T7" s="19"/>
    </row>
    <row r="8" ht="15.0" customHeight="1">
      <c r="A8" s="11">
        <v>2.0</v>
      </c>
      <c r="B8" s="12">
        <v>0.4048611111111111</v>
      </c>
      <c r="C8" s="13"/>
      <c r="D8" s="14" t="s">
        <v>35</v>
      </c>
      <c r="E8" s="14" t="s">
        <v>36</v>
      </c>
      <c r="F8" s="15" t="s">
        <v>26</v>
      </c>
      <c r="G8" s="14" t="s">
        <v>37</v>
      </c>
      <c r="H8" s="14" t="s">
        <v>38</v>
      </c>
      <c r="I8" s="14" t="s">
        <v>29</v>
      </c>
      <c r="J8" s="13" t="s">
        <v>26</v>
      </c>
      <c r="K8" s="27" t="s">
        <v>39</v>
      </c>
      <c r="L8" s="27" t="s">
        <v>40</v>
      </c>
      <c r="M8" s="18" t="s">
        <v>26</v>
      </c>
      <c r="N8" s="14" t="s">
        <v>41</v>
      </c>
      <c r="O8" s="14" t="s">
        <v>42</v>
      </c>
      <c r="P8" s="14" t="s">
        <v>43</v>
      </c>
      <c r="Q8" s="14"/>
      <c r="R8" s="19"/>
      <c r="S8" s="20" t="str">
        <f t="shared" si="1"/>
        <v>g0v tw hackath62n — 提案 — 星河計畫-自學生經驗匯流 ／ ziaosen —  帶我去月球黑客松</v>
      </c>
      <c r="T8" s="19"/>
    </row>
    <row r="9" ht="15.0" customHeight="1">
      <c r="A9" s="11">
        <v>3.0</v>
      </c>
      <c r="B9" s="12">
        <v>0.40694444444444444</v>
      </c>
      <c r="C9" s="13"/>
      <c r="D9" s="14" t="s">
        <v>44</v>
      </c>
      <c r="E9" s="14" t="s">
        <v>36</v>
      </c>
      <c r="F9" s="15"/>
      <c r="G9" s="14" t="s">
        <v>45</v>
      </c>
      <c r="H9" s="29" t="s">
        <v>46</v>
      </c>
      <c r="I9" s="14" t="s">
        <v>47</v>
      </c>
      <c r="J9" s="13" t="s">
        <v>26</v>
      </c>
      <c r="K9" s="30" t="s">
        <v>48</v>
      </c>
      <c r="L9" s="27" t="s">
        <v>49</v>
      </c>
      <c r="M9" s="31" t="s">
        <v>26</v>
      </c>
      <c r="N9" s="32" t="s">
        <v>50</v>
      </c>
      <c r="O9" s="14" t="s">
        <v>51</v>
      </c>
      <c r="P9" s="14" t="s">
        <v>52</v>
      </c>
      <c r="Q9" s="19"/>
      <c r="R9" s="19"/>
      <c r="S9" s="20" t="str">
        <f t="shared" si="1"/>
        <v>g0v tw hackath62n — 提案 — Collage ／ chewei, 任翔 Sean —  帶我去月球黑客松</v>
      </c>
      <c r="T9" s="19"/>
    </row>
    <row r="10" ht="15.0" customHeight="1">
      <c r="A10" s="11">
        <v>4.0</v>
      </c>
      <c r="B10" s="12">
        <v>0.40902777777777777</v>
      </c>
      <c r="C10" s="13"/>
      <c r="D10" s="14" t="s">
        <v>53</v>
      </c>
      <c r="E10" s="14" t="s">
        <v>36</v>
      </c>
      <c r="F10" s="15" t="s">
        <v>26</v>
      </c>
      <c r="G10" s="33" t="s">
        <v>54</v>
      </c>
      <c r="H10" s="14" t="s">
        <v>55</v>
      </c>
      <c r="I10" s="34" t="s">
        <v>56</v>
      </c>
      <c r="J10" s="35" t="s">
        <v>57</v>
      </c>
      <c r="K10" s="36" t="s">
        <v>58</v>
      </c>
      <c r="L10" s="36" t="s">
        <v>59</v>
      </c>
      <c r="M10" s="37" t="s">
        <v>26</v>
      </c>
      <c r="N10" s="38" t="s">
        <v>60</v>
      </c>
      <c r="O10" s="38" t="s">
        <v>61</v>
      </c>
      <c r="P10" s="39" t="s">
        <v>62</v>
      </c>
      <c r="Q10" s="40"/>
      <c r="R10" s="41"/>
      <c r="S10" s="20" t="str">
        <f t="shared" si="1"/>
        <v>g0v tw hackath62n — 提案 — Cofacts 真的假的 &amp; Open165 ／ bil —  帶我去月球黑客松</v>
      </c>
      <c r="T10" s="41"/>
    </row>
    <row r="11" ht="15.0" customHeight="1">
      <c r="A11" s="11">
        <v>5.0</v>
      </c>
      <c r="B11" s="12">
        <v>0.4111111111111111</v>
      </c>
      <c r="C11" s="13"/>
      <c r="D11" s="14" t="s">
        <v>63</v>
      </c>
      <c r="E11" s="14" t="s">
        <v>36</v>
      </c>
      <c r="F11" s="15"/>
      <c r="G11" s="14" t="s">
        <v>64</v>
      </c>
      <c r="H11" s="14" t="s">
        <v>65</v>
      </c>
      <c r="I11" s="14" t="s">
        <v>29</v>
      </c>
      <c r="J11" s="13" t="s">
        <v>26</v>
      </c>
      <c r="K11" s="30" t="s">
        <v>66</v>
      </c>
      <c r="L11" s="30" t="s">
        <v>67</v>
      </c>
      <c r="M11" s="42"/>
      <c r="N11" s="32"/>
      <c r="O11" s="14"/>
      <c r="P11" s="14"/>
      <c r="Q11" s="14"/>
      <c r="R11" s="19"/>
      <c r="S11" s="20" t="str">
        <f t="shared" si="1"/>
        <v>g0v tw hackath62n — 提案 — 台灣人的開放國會行動方案 ／ Ronny —  帶我去月球黑客松</v>
      </c>
      <c r="T11" s="19"/>
    </row>
    <row r="12" ht="18.0" customHeight="1">
      <c r="A12" s="11">
        <v>6.0</v>
      </c>
      <c r="B12" s="12">
        <v>0.4131944444444444</v>
      </c>
      <c r="C12" s="13"/>
      <c r="D12" s="14" t="s">
        <v>68</v>
      </c>
      <c r="E12" s="14" t="s">
        <v>36</v>
      </c>
      <c r="F12" s="15" t="s">
        <v>26</v>
      </c>
      <c r="G12" s="14" t="s">
        <v>69</v>
      </c>
      <c r="H12" s="14" t="s">
        <v>70</v>
      </c>
      <c r="I12" s="14" t="s">
        <v>29</v>
      </c>
      <c r="J12" s="13" t="s">
        <v>26</v>
      </c>
      <c r="K12" s="43" t="s">
        <v>71</v>
      </c>
      <c r="L12" s="27" t="s">
        <v>72</v>
      </c>
      <c r="M12" s="44"/>
      <c r="N12" s="11"/>
      <c r="O12" s="14"/>
      <c r="P12" s="14"/>
      <c r="Q12" s="14"/>
      <c r="R12" s="19"/>
      <c r="S12" s="20" t="str">
        <f t="shared" si="1"/>
        <v>g0v tw hackath62n — 提案 — #design ／ Tofus —  帶我去月球黑客松</v>
      </c>
      <c r="T12" s="19"/>
    </row>
    <row r="13" ht="15.0" customHeight="1">
      <c r="A13" s="11">
        <v>7.0</v>
      </c>
      <c r="B13" s="12">
        <v>0.4152777777777778</v>
      </c>
      <c r="C13" s="13"/>
      <c r="D13" s="14" t="s">
        <v>73</v>
      </c>
      <c r="E13" s="14" t="s">
        <v>36</v>
      </c>
      <c r="F13" s="15"/>
      <c r="G13" s="14" t="s">
        <v>74</v>
      </c>
      <c r="H13" s="14" t="s">
        <v>75</v>
      </c>
      <c r="I13" s="14" t="s">
        <v>29</v>
      </c>
      <c r="J13" s="13" t="s">
        <v>76</v>
      </c>
      <c r="K13" s="30" t="s">
        <v>77</v>
      </c>
      <c r="L13" s="30" t="s">
        <v>78</v>
      </c>
      <c r="M13" s="18" t="s">
        <v>79</v>
      </c>
      <c r="N13" s="14" t="s">
        <v>80</v>
      </c>
      <c r="O13" s="14" t="s">
        <v>81</v>
      </c>
      <c r="P13" s="14" t="s">
        <v>82</v>
      </c>
      <c r="Q13" s="14"/>
      <c r="R13" s="19"/>
      <c r="S13" s="20" t="str">
        <f t="shared" si="1"/>
        <v>g0v tw hackath62n — 提案 — 數位公共參與工具survey與議題小聚 ／ Peter —  帶我去月球黑客松</v>
      </c>
      <c r="T13" s="19"/>
    </row>
    <row r="14" ht="15.0" customHeight="1">
      <c r="A14" s="11">
        <v>8.0</v>
      </c>
      <c r="B14" s="12">
        <v>0.4173611111111111</v>
      </c>
      <c r="C14" s="13"/>
      <c r="D14" s="14" t="s">
        <v>83</v>
      </c>
      <c r="E14" s="14" t="s">
        <v>36</v>
      </c>
      <c r="F14" s="15" t="s">
        <v>26</v>
      </c>
      <c r="G14" s="14" t="s">
        <v>84</v>
      </c>
      <c r="H14" s="14" t="s">
        <v>85</v>
      </c>
      <c r="I14" s="14" t="s">
        <v>86</v>
      </c>
      <c r="J14" s="13" t="s">
        <v>76</v>
      </c>
      <c r="K14" s="27" t="s">
        <v>87</v>
      </c>
      <c r="L14" s="27" t="s">
        <v>88</v>
      </c>
      <c r="M14" s="18" t="s">
        <v>26</v>
      </c>
      <c r="N14" s="14" t="s">
        <v>89</v>
      </c>
      <c r="O14" s="14" t="s">
        <v>90</v>
      </c>
      <c r="P14" s="27" t="s">
        <v>91</v>
      </c>
      <c r="Q14" s="14"/>
      <c r="R14" s="19"/>
      <c r="S14" s="20" t="str">
        <f t="shared" si="1"/>
        <v>g0v tw hackath62n — 提案 — Linux Odyssey ／ 宏信 —  帶我去月球黑客松</v>
      </c>
      <c r="T14" s="19"/>
    </row>
    <row r="15" ht="15.0" customHeight="1">
      <c r="A15" s="11">
        <v>9.0</v>
      </c>
      <c r="B15" s="12">
        <v>0.41944444444444445</v>
      </c>
      <c r="C15" s="13"/>
      <c r="D15" s="14" t="s">
        <v>92</v>
      </c>
      <c r="E15" s="14" t="s">
        <v>36</v>
      </c>
      <c r="F15" s="15"/>
      <c r="G15" s="14" t="s">
        <v>93</v>
      </c>
      <c r="H15" s="14" t="s">
        <v>94</v>
      </c>
      <c r="I15" s="14" t="s">
        <v>95</v>
      </c>
      <c r="J15" s="13" t="s">
        <v>26</v>
      </c>
      <c r="K15" s="27" t="s">
        <v>96</v>
      </c>
      <c r="L15" s="27" t="s">
        <v>97</v>
      </c>
      <c r="M15" s="18"/>
      <c r="N15" s="14" t="s">
        <v>98</v>
      </c>
      <c r="O15" s="14" t="s">
        <v>99</v>
      </c>
      <c r="P15" s="14" t="s">
        <v>100</v>
      </c>
      <c r="Q15" s="14"/>
      <c r="R15" s="19"/>
      <c r="S15" s="20" t="str">
        <f t="shared" si="1"/>
        <v>g0v tw hackath62n — 提案 — ChanceTix ／ OKHand —  帶我去月球黑客松</v>
      </c>
      <c r="T15" s="19"/>
    </row>
    <row r="16" ht="15.0" customHeight="1">
      <c r="A16" s="11">
        <v>10.0</v>
      </c>
      <c r="B16" s="12">
        <v>0.4215277777777778</v>
      </c>
      <c r="C16" s="13"/>
      <c r="D16" s="45" t="s">
        <v>101</v>
      </c>
      <c r="E16" s="14" t="s">
        <v>36</v>
      </c>
      <c r="F16" s="15"/>
      <c r="G16" s="14" t="s">
        <v>102</v>
      </c>
      <c r="H16" s="14" t="s">
        <v>103</v>
      </c>
      <c r="I16" s="14" t="s">
        <v>29</v>
      </c>
      <c r="J16" s="46" t="s">
        <v>26</v>
      </c>
      <c r="K16" s="30" t="s">
        <v>104</v>
      </c>
      <c r="L16" s="27" t="s">
        <v>105</v>
      </c>
      <c r="M16" s="18" t="s">
        <v>26</v>
      </c>
      <c r="N16" s="14" t="s">
        <v>106</v>
      </c>
      <c r="O16" s="14" t="s">
        <v>107</v>
      </c>
      <c r="P16" s="14" t="s">
        <v>108</v>
      </c>
      <c r="Q16" s="14"/>
      <c r="R16" s="19"/>
      <c r="S16" s="20" t="str">
        <f t="shared" si="1"/>
        <v>g0v tw hackath62n — 提案 — APCS Guide ／ 冰川 —  帶我去月球黑客松</v>
      </c>
      <c r="T16" s="19"/>
    </row>
    <row r="17" ht="15.0" customHeight="1">
      <c r="A17" s="11">
        <v>11.0</v>
      </c>
      <c r="B17" s="12">
        <v>0.4236111111111111</v>
      </c>
      <c r="C17" s="13"/>
      <c r="D17" s="11" t="s">
        <v>109</v>
      </c>
      <c r="E17" s="14" t="s">
        <v>36</v>
      </c>
      <c r="F17" s="15" t="s">
        <v>26</v>
      </c>
      <c r="G17" s="47" t="s">
        <v>110</v>
      </c>
      <c r="H17" s="47" t="s">
        <v>111</v>
      </c>
      <c r="I17" s="14" t="s">
        <v>112</v>
      </c>
      <c r="J17" s="13" t="s">
        <v>26</v>
      </c>
      <c r="K17" s="48"/>
      <c r="L17" s="27" t="s">
        <v>113</v>
      </c>
      <c r="M17" s="18" t="s">
        <v>26</v>
      </c>
      <c r="N17" s="14" t="s">
        <v>114</v>
      </c>
      <c r="O17" s="14" t="s">
        <v>115</v>
      </c>
      <c r="P17" s="14" t="s">
        <v>116</v>
      </c>
      <c r="Q17" s="14"/>
      <c r="R17" s="19"/>
      <c r="S17" s="20" t="str">
        <f t="shared" si="1"/>
        <v>g0v tw hackath62n — 提案 — 論證-公共議題論述匯整平台 ／ T —  帶我去月球黑客松</v>
      </c>
      <c r="T17" s="19"/>
    </row>
    <row r="18" ht="15.0" customHeight="1">
      <c r="A18" s="11">
        <v>12.0</v>
      </c>
      <c r="B18" s="12">
        <v>0.42569444444444443</v>
      </c>
      <c r="C18" s="13"/>
      <c r="D18" s="14" t="s">
        <v>117</v>
      </c>
      <c r="E18" s="14" t="s">
        <v>36</v>
      </c>
      <c r="F18" s="15"/>
      <c r="G18" s="14" t="s">
        <v>118</v>
      </c>
      <c r="H18" s="14" t="s">
        <v>119</v>
      </c>
      <c r="I18" s="14"/>
      <c r="J18" s="46" t="s">
        <v>26</v>
      </c>
      <c r="K18" s="27" t="s">
        <v>120</v>
      </c>
      <c r="L18" s="27" t="s">
        <v>120</v>
      </c>
      <c r="M18" s="18"/>
      <c r="N18" s="14"/>
      <c r="O18" s="14"/>
      <c r="P18" s="14"/>
      <c r="Q18" s="14"/>
      <c r="R18" s="19"/>
      <c r="S18" s="20" t="str">
        <f t="shared" si="1"/>
        <v>g0v tw hackath62n — 提案 — jothon ／ isabel —  帶我去月球黑客松</v>
      </c>
      <c r="T18" s="19"/>
    </row>
    <row r="19" ht="15.0" customHeight="1">
      <c r="A19" s="11">
        <v>13.0</v>
      </c>
      <c r="B19" s="12">
        <v>0.42777777777777776</v>
      </c>
      <c r="C19" s="13"/>
      <c r="D19" s="14" t="s">
        <v>121</v>
      </c>
      <c r="E19" s="14" t="s">
        <v>36</v>
      </c>
      <c r="F19" s="15"/>
      <c r="G19" s="14" t="s">
        <v>122</v>
      </c>
      <c r="H19" s="14" t="s">
        <v>122</v>
      </c>
      <c r="I19" s="49"/>
      <c r="J19" s="49"/>
      <c r="K19" s="14"/>
      <c r="L19" s="27" t="s">
        <v>123</v>
      </c>
      <c r="M19" s="18"/>
      <c r="N19" s="14"/>
      <c r="O19" s="14"/>
      <c r="P19" s="14"/>
      <c r="Q19" s="14"/>
      <c r="R19" s="19"/>
      <c r="S19" s="20" t="str">
        <f t="shared" si="1"/>
        <v>g0v tw hackath62n — 提案 — 一屋兩賣 ／ 鄭淑麗 —  帶我去月球黑客松</v>
      </c>
      <c r="T19" s="19"/>
    </row>
    <row r="20" ht="15.0" customHeight="1">
      <c r="A20" s="11">
        <v>14.0</v>
      </c>
      <c r="B20" s="12">
        <v>0.42986111111111114</v>
      </c>
      <c r="C20" s="13"/>
      <c r="D20" s="14" t="s">
        <v>124</v>
      </c>
      <c r="E20" s="14" t="s">
        <v>36</v>
      </c>
      <c r="F20" s="15"/>
      <c r="G20" s="14" t="s">
        <v>125</v>
      </c>
      <c r="H20" s="14"/>
      <c r="I20" s="49"/>
      <c r="J20" s="49" t="s">
        <v>26</v>
      </c>
      <c r="K20" s="14"/>
      <c r="L20" s="27" t="s">
        <v>126</v>
      </c>
      <c r="M20" s="18"/>
      <c r="N20" s="14"/>
      <c r="O20" s="14"/>
      <c r="P20" s="14" t="s">
        <v>127</v>
      </c>
      <c r="Q20" s="14"/>
      <c r="R20" s="19"/>
      <c r="S20" s="20" t="str">
        <f t="shared" si="1"/>
        <v>g0v tw hackath62n — 提案 — 司法判決資料庫 ／ Eli —  帶我去月球黑客松</v>
      </c>
      <c r="T20" s="19"/>
    </row>
    <row r="21" ht="15.0" customHeight="1">
      <c r="A21" s="11">
        <v>15.0</v>
      </c>
      <c r="B21" s="12">
        <v>0.43194444444444446</v>
      </c>
      <c r="C21" s="13"/>
      <c r="D21" s="14" t="s">
        <v>128</v>
      </c>
      <c r="E21" s="14" t="s">
        <v>36</v>
      </c>
      <c r="F21" s="15"/>
      <c r="G21" s="14" t="s">
        <v>129</v>
      </c>
      <c r="H21" s="14" t="s">
        <v>130</v>
      </c>
      <c r="I21" s="14"/>
      <c r="J21" s="13"/>
      <c r="K21" s="30" t="s">
        <v>131</v>
      </c>
      <c r="L21" s="27" t="s">
        <v>132</v>
      </c>
      <c r="M21" s="18"/>
      <c r="N21" s="14"/>
      <c r="O21" s="14"/>
      <c r="P21" s="14"/>
      <c r="Q21" s="14"/>
      <c r="R21" s="19"/>
      <c r="S21" s="20" t="str">
        <f t="shared" si="1"/>
        <v>g0v tw hackath62n — 提案 — 台灣 AI 共創實驗室 ／ Zoey —  帶我去月球黑客松</v>
      </c>
      <c r="T21" s="19"/>
    </row>
    <row r="22" ht="15.0" customHeight="1">
      <c r="A22" s="14"/>
      <c r="B22" s="12"/>
      <c r="C22" s="13"/>
      <c r="D22" s="50" t="s">
        <v>133</v>
      </c>
      <c r="E22" s="14"/>
      <c r="F22" s="15"/>
      <c r="G22" s="14"/>
      <c r="H22" s="14"/>
      <c r="I22" s="14"/>
      <c r="J22" s="13"/>
      <c r="K22" s="14"/>
      <c r="L22" s="29"/>
      <c r="M22" s="18"/>
      <c r="N22" s="14"/>
      <c r="O22" s="14"/>
      <c r="P22" s="14"/>
      <c r="Q22" s="14"/>
      <c r="R22" s="19"/>
      <c r="S22" s="20" t="str">
        <f t="shared" si="1"/>
        <v>g0v tw hackath62n — 提案 —  ／ == 截止 == —  帶我去月球黑客松</v>
      </c>
      <c r="T22" s="19"/>
    </row>
    <row r="23" ht="15.0" customHeight="1">
      <c r="A23" s="14"/>
      <c r="B23" s="12"/>
      <c r="C23" s="13"/>
      <c r="D23" s="14"/>
      <c r="E23" s="14"/>
      <c r="F23" s="15"/>
      <c r="G23" s="14"/>
      <c r="H23" s="14"/>
      <c r="I23" s="14"/>
      <c r="J23" s="13"/>
      <c r="K23" s="14"/>
      <c r="L23" s="14"/>
      <c r="M23" s="18"/>
      <c r="N23" s="14"/>
      <c r="O23" s="14"/>
      <c r="P23" s="14"/>
      <c r="Q23" s="14"/>
      <c r="R23" s="19"/>
      <c r="S23" s="20" t="str">
        <f t="shared" si="1"/>
        <v>g0v tw hackath62n — 提案 —  ／  —  帶我去月球黑客松</v>
      </c>
      <c r="T23" s="19"/>
    </row>
    <row r="24" ht="15.0" customHeight="1">
      <c r="A24" s="14"/>
      <c r="B24" s="12"/>
      <c r="C24" s="13"/>
      <c r="D24" s="14"/>
      <c r="E24" s="14"/>
      <c r="F24" s="15"/>
      <c r="G24" s="14"/>
      <c r="H24" s="14"/>
      <c r="I24" s="14"/>
      <c r="J24" s="13"/>
      <c r="K24" s="14"/>
      <c r="L24" s="14"/>
      <c r="M24" s="18"/>
      <c r="N24" s="14"/>
      <c r="O24" s="14"/>
      <c r="P24" s="14"/>
      <c r="Q24" s="14"/>
      <c r="R24" s="19"/>
      <c r="S24" s="20" t="str">
        <f t="shared" si="1"/>
        <v>g0v tw hackath62n — 提案 —  ／  —  帶我去月球黑客松</v>
      </c>
      <c r="T24" s="19"/>
    </row>
    <row r="25" ht="15.0" customHeight="1">
      <c r="A25" s="14"/>
      <c r="B25" s="12"/>
      <c r="C25" s="13"/>
      <c r="D25" s="19"/>
      <c r="E25" s="14"/>
      <c r="F25" s="15"/>
      <c r="G25" s="14"/>
      <c r="H25" s="14"/>
      <c r="I25" s="14"/>
      <c r="J25" s="13"/>
      <c r="K25" s="14"/>
      <c r="L25" s="14"/>
      <c r="M25" s="23"/>
      <c r="N25" s="14"/>
      <c r="O25" s="14"/>
      <c r="P25" s="14"/>
      <c r="Q25" s="14"/>
      <c r="R25" s="19"/>
      <c r="S25" s="20" t="str">
        <f t="shared" si="1"/>
        <v>g0v tw hackath62n — 提案 —  ／  —  帶我去月球黑客松</v>
      </c>
      <c r="T25" s="19"/>
    </row>
    <row r="26" ht="15.0" customHeight="1">
      <c r="A26" s="8" t="s">
        <v>134</v>
      </c>
      <c r="S26" s="51"/>
      <c r="T26" s="8"/>
    </row>
    <row r="27" ht="15.0" customHeight="1">
      <c r="A27" s="7" t="s">
        <v>135</v>
      </c>
      <c r="B27" s="7" t="s">
        <v>136</v>
      </c>
      <c r="C27" s="3" t="s">
        <v>1</v>
      </c>
      <c r="D27" s="7" t="s">
        <v>137</v>
      </c>
      <c r="E27" s="3" t="s">
        <v>138</v>
      </c>
      <c r="F27" s="5" t="s">
        <v>139</v>
      </c>
      <c r="G27" s="3" t="s">
        <v>5</v>
      </c>
      <c r="H27" s="7" t="s">
        <v>140</v>
      </c>
      <c r="I27" s="3" t="s">
        <v>141</v>
      </c>
      <c r="J27" s="52" t="s">
        <v>142</v>
      </c>
      <c r="K27" s="7"/>
      <c r="L27" s="7" t="s">
        <v>143</v>
      </c>
      <c r="M27" s="7"/>
      <c r="N27" s="7" t="s">
        <v>144</v>
      </c>
      <c r="O27" s="7" t="s">
        <v>145</v>
      </c>
      <c r="P27" s="3" t="s">
        <v>14</v>
      </c>
      <c r="Q27" s="53"/>
      <c r="R27" s="53"/>
      <c r="S27" s="20" t="str">
        <f t="shared" ref="S27:S31" si="2">"g0v tw hackath62n — 中場短講 — "&amp;G27&amp;" ／ "&amp;D27&amp;" —  帶我去月球黑客松"</f>
        <v>g0v tw hackath62n — 中場短講 — 專案名稱
Project Name ／ 發表者 —  帶我去月球黑客松</v>
      </c>
      <c r="T27" s="20"/>
    </row>
    <row r="28" ht="15.0" customHeight="1">
      <c r="A28" s="54">
        <v>1.0</v>
      </c>
      <c r="B28" s="12">
        <v>0.6041666666666666</v>
      </c>
      <c r="C28" s="13"/>
      <c r="D28" s="14" t="s">
        <v>146</v>
      </c>
      <c r="E28" s="14" t="s">
        <v>147</v>
      </c>
      <c r="F28" s="15" t="s">
        <v>26</v>
      </c>
      <c r="G28" s="14" t="s">
        <v>148</v>
      </c>
      <c r="H28" s="14" t="s">
        <v>149</v>
      </c>
      <c r="I28" s="14" t="s">
        <v>29</v>
      </c>
      <c r="J28" s="13" t="s">
        <v>26</v>
      </c>
      <c r="K28" s="14"/>
      <c r="L28" s="55" t="s">
        <v>150</v>
      </c>
      <c r="M28" s="14"/>
      <c r="N28" s="14" t="s">
        <v>151</v>
      </c>
      <c r="O28" s="14"/>
      <c r="P28" s="14" t="s">
        <v>152</v>
      </c>
      <c r="Q28" s="45"/>
      <c r="R28" s="56"/>
      <c r="S28" s="20" t="str">
        <f t="shared" si="2"/>
        <v>g0v tw hackath62n — 中場短講 — $LOCAL ／ Stamford —  帶我去月球黑客松</v>
      </c>
      <c r="T28" s="56"/>
    </row>
    <row r="29" ht="15.0" customHeight="1">
      <c r="A29" s="54">
        <v>2.0</v>
      </c>
      <c r="B29" s="12">
        <v>0.6111111111111112</v>
      </c>
      <c r="C29" s="13"/>
      <c r="D29" s="45" t="s">
        <v>153</v>
      </c>
      <c r="E29" s="14" t="s">
        <v>36</v>
      </c>
      <c r="F29" s="15"/>
      <c r="G29" s="45" t="s">
        <v>154</v>
      </c>
      <c r="H29" s="45" t="s">
        <v>155</v>
      </c>
      <c r="I29" s="14" t="s">
        <v>29</v>
      </c>
      <c r="J29" s="13" t="s">
        <v>26</v>
      </c>
      <c r="K29" s="27" t="s">
        <v>156</v>
      </c>
      <c r="L29" s="27" t="s">
        <v>157</v>
      </c>
      <c r="M29" s="45"/>
      <c r="N29" s="45" t="s">
        <v>158</v>
      </c>
      <c r="O29" s="14"/>
      <c r="P29" s="14"/>
      <c r="Q29" s="45"/>
      <c r="R29" s="56"/>
      <c r="S29" s="20" t="str">
        <f t="shared" si="2"/>
        <v>g0v tw hackath62n — 中場短講 — 2024臺北秋季程式設計節 ／ Karen —  帶我去月球黑客松</v>
      </c>
      <c r="T29" s="56"/>
    </row>
    <row r="30" ht="15.0" customHeight="1">
      <c r="A30" s="54">
        <v>3.0</v>
      </c>
      <c r="B30" s="12">
        <v>0.6180555555555556</v>
      </c>
      <c r="C30" s="13"/>
      <c r="D30" s="14" t="s">
        <v>68</v>
      </c>
      <c r="E30" s="14" t="s">
        <v>36</v>
      </c>
      <c r="F30" s="15"/>
      <c r="G30" s="14" t="s">
        <v>159</v>
      </c>
      <c r="H30" s="14" t="s">
        <v>160</v>
      </c>
      <c r="I30" s="14" t="s">
        <v>29</v>
      </c>
      <c r="J30" s="13" t="s">
        <v>26</v>
      </c>
      <c r="K30" s="29"/>
      <c r="L30" s="57" t="s">
        <v>161</v>
      </c>
      <c r="M30" s="14"/>
      <c r="N30" s="14" t="s">
        <v>162</v>
      </c>
      <c r="O30" s="14"/>
      <c r="P30" s="14"/>
      <c r="Q30" s="14"/>
      <c r="R30" s="19"/>
      <c r="S30" s="20" t="str">
        <f t="shared" si="2"/>
        <v>g0v tw hackath62n — 中場短講 — Jamie's Gap Year Program ／ Tofus —  帶我去月球黑客松</v>
      </c>
      <c r="T30" s="19"/>
    </row>
    <row r="31" ht="15.0" customHeight="1">
      <c r="A31" s="14">
        <v>4.0</v>
      </c>
      <c r="B31" s="58">
        <v>0.625</v>
      </c>
      <c r="C31" s="59"/>
      <c r="D31" s="31" t="s">
        <v>20</v>
      </c>
      <c r="E31" s="14" t="s">
        <v>36</v>
      </c>
      <c r="F31" s="15"/>
      <c r="G31" s="60" t="s">
        <v>163</v>
      </c>
      <c r="H31" s="14" t="s">
        <v>164</v>
      </c>
      <c r="I31" s="14" t="s">
        <v>29</v>
      </c>
      <c r="J31" s="13" t="s">
        <v>26</v>
      </c>
      <c r="K31" s="27" t="s">
        <v>165</v>
      </c>
      <c r="L31" s="30" t="s">
        <v>166</v>
      </c>
      <c r="M31" s="14"/>
      <c r="N31" s="14" t="s">
        <v>167</v>
      </c>
      <c r="O31" s="19"/>
      <c r="P31" s="14" t="s">
        <v>168</v>
      </c>
      <c r="Q31" s="14"/>
      <c r="R31" s="19"/>
      <c r="S31" s="20" t="str">
        <f t="shared" si="2"/>
        <v>g0v tw hackath62n — 中場短講 — 公民科技專案與社群手冊 ／ 揪松團 —  帶我去月球黑客松</v>
      </c>
      <c r="T31" s="19"/>
    </row>
    <row r="32" ht="15.0" customHeight="1">
      <c r="A32" s="61"/>
      <c r="B32" s="62" t="s">
        <v>169</v>
      </c>
      <c r="C32" s="63"/>
      <c r="D32" s="64" t="s">
        <v>133</v>
      </c>
      <c r="E32" s="62"/>
      <c r="F32" s="63"/>
      <c r="G32" s="65"/>
      <c r="H32" s="65"/>
      <c r="I32" s="61"/>
      <c r="J32" s="61"/>
      <c r="K32" s="61"/>
      <c r="L32" s="61"/>
      <c r="M32" s="61"/>
      <c r="N32" s="61"/>
      <c r="O32" s="61"/>
      <c r="P32" s="61"/>
      <c r="Q32" s="65"/>
      <c r="R32" s="61"/>
      <c r="S32" s="61"/>
      <c r="T32" s="61"/>
    </row>
    <row r="33" ht="15.0" customHeight="1">
      <c r="A33" s="61"/>
      <c r="B33" s="66"/>
      <c r="C33" s="63"/>
      <c r="D33" s="67"/>
      <c r="E33" s="67"/>
      <c r="F33" s="63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</row>
    <row r="34" ht="15.0" customHeight="1">
      <c r="A34" s="19"/>
      <c r="B34" s="59"/>
      <c r="C34" s="59"/>
      <c r="D34" s="19"/>
      <c r="E34" s="19"/>
      <c r="F34" s="6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ht="15.0" customHeight="1">
      <c r="A35" s="19"/>
      <c r="B35" s="59"/>
      <c r="C35" s="59"/>
      <c r="D35" s="19"/>
      <c r="E35" s="19"/>
      <c r="F35" s="6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ht="15.0" customHeight="1">
      <c r="A36" s="19"/>
      <c r="B36" s="59"/>
      <c r="C36" s="59"/>
      <c r="D36" s="19"/>
      <c r="E36" s="19"/>
      <c r="F36" s="68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ht="15.0" customHeight="1">
      <c r="A37" s="19"/>
      <c r="B37" s="59"/>
      <c r="C37" s="59"/>
      <c r="D37" s="19"/>
      <c r="E37" s="19"/>
      <c r="F37" s="6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ht="15.0" customHeight="1">
      <c r="A38" s="8" t="s">
        <v>170</v>
      </c>
      <c r="S38" s="51"/>
      <c r="T38" s="8"/>
    </row>
    <row r="39" ht="15.0" customHeight="1">
      <c r="A39" s="69">
        <v>1.0</v>
      </c>
      <c r="B39" s="12">
        <v>0.6736111111111112</v>
      </c>
      <c r="C39" s="13"/>
      <c r="D39" s="14" t="s">
        <v>171</v>
      </c>
      <c r="E39" s="14" t="s">
        <v>36</v>
      </c>
      <c r="F39" s="15"/>
      <c r="G39" s="14" t="s">
        <v>172</v>
      </c>
      <c r="H39" s="14" t="s">
        <v>173</v>
      </c>
      <c r="I39" s="14"/>
      <c r="J39" s="14"/>
      <c r="K39" s="27" t="s">
        <v>174</v>
      </c>
      <c r="L39" s="29"/>
      <c r="M39" s="14"/>
      <c r="N39" s="14"/>
      <c r="O39" s="14"/>
      <c r="P39" s="14"/>
      <c r="Q39" s="14"/>
      <c r="R39" s="14"/>
      <c r="S39" s="20" t="str">
        <f t="shared" ref="S39:S51" si="3">"g0v tw hackath62n — 成果報告 — "&amp;G39&amp;" ／ "&amp;D39&amp;" —  帶我去月球黑客松"</f>
        <v>g0v tw hackath62n — 成果報告 — 台灣 AI 教育共創實驗室 ／ Zoey + 黃惠貞 —  帶我去月球黑客松</v>
      </c>
      <c r="T39" s="20"/>
    </row>
    <row r="40" ht="15.0" customHeight="1">
      <c r="A40" s="69">
        <v>2.0</v>
      </c>
      <c r="B40" s="12">
        <v>0.6770833333333334</v>
      </c>
      <c r="C40" s="13"/>
      <c r="D40" s="14" t="s">
        <v>175</v>
      </c>
      <c r="E40" s="14" t="s">
        <v>36</v>
      </c>
      <c r="F40" s="15" t="s">
        <v>26</v>
      </c>
      <c r="G40" s="70" t="s">
        <v>176</v>
      </c>
      <c r="H40" s="70"/>
      <c r="I40" s="14"/>
      <c r="J40" s="14"/>
      <c r="K40" s="71" t="s">
        <v>177</v>
      </c>
      <c r="L40" s="72"/>
      <c r="M40" s="14"/>
      <c r="N40" s="14"/>
      <c r="O40" s="14"/>
      <c r="P40" s="14"/>
      <c r="Q40" s="14"/>
      <c r="R40" s="19"/>
      <c r="S40" s="20" t="str">
        <f t="shared" si="3"/>
        <v>g0v tw hackath62n — 成果報告 — 好連街 - 連續型行人路徑繪製步驟 ／ chewei —  帶我去月球黑客松</v>
      </c>
      <c r="T40" s="19"/>
    </row>
    <row r="41" ht="15.0" customHeight="1">
      <c r="A41" s="69">
        <v>3.0</v>
      </c>
      <c r="B41" s="12">
        <v>0.6805555555555556</v>
      </c>
      <c r="C41" s="13"/>
      <c r="D41" s="14" t="s">
        <v>178</v>
      </c>
      <c r="E41" s="14" t="s">
        <v>36</v>
      </c>
      <c r="F41" s="15"/>
      <c r="G41" s="14" t="s">
        <v>179</v>
      </c>
      <c r="H41" s="14" t="s">
        <v>180</v>
      </c>
      <c r="I41" s="34" t="s">
        <v>56</v>
      </c>
      <c r="J41" s="35" t="s">
        <v>57</v>
      </c>
      <c r="K41" s="27" t="s">
        <v>58</v>
      </c>
      <c r="L41" s="73" t="s">
        <v>58</v>
      </c>
      <c r="M41" s="14" t="s">
        <v>26</v>
      </c>
      <c r="N41" s="14"/>
      <c r="O41" s="14"/>
      <c r="P41" s="14"/>
      <c r="Q41" s="14"/>
      <c r="R41" s="19"/>
      <c r="S41" s="20" t="str">
        <f t="shared" si="3"/>
        <v>g0v tw hackath62n — 成果報告 — Cofacts ／ 貝吉樂＋MrOrz —  帶我去月球黑客松</v>
      </c>
      <c r="T41" s="19"/>
    </row>
    <row r="42" ht="15.0" customHeight="1">
      <c r="A42" s="69">
        <v>4.0</v>
      </c>
      <c r="B42" s="12">
        <v>0.6840277777777778</v>
      </c>
      <c r="C42" s="13"/>
      <c r="D42" s="14" t="s">
        <v>181</v>
      </c>
      <c r="E42" s="14" t="s">
        <v>36</v>
      </c>
      <c r="F42" s="15" t="s">
        <v>26</v>
      </c>
      <c r="G42" s="14" t="s">
        <v>182</v>
      </c>
      <c r="H42" s="14" t="s">
        <v>183</v>
      </c>
      <c r="I42" s="19"/>
      <c r="J42" s="19"/>
      <c r="K42" s="14"/>
      <c r="L42" s="30" t="s">
        <v>184</v>
      </c>
      <c r="M42" s="14"/>
      <c r="N42" s="14"/>
      <c r="O42" s="14"/>
      <c r="P42" s="14"/>
      <c r="Q42" s="14"/>
      <c r="R42" s="14"/>
      <c r="S42" s="20" t="str">
        <f t="shared" si="3"/>
        <v>g0v tw hackath62n — 成果報告 — 數位韌性松 ／ 荊輔翔 —  帶我去月球黑客松</v>
      </c>
      <c r="T42" s="14"/>
    </row>
    <row r="43" ht="15.0" customHeight="1">
      <c r="A43" s="69">
        <v>5.0</v>
      </c>
      <c r="B43" s="12">
        <v>0.6875</v>
      </c>
      <c r="C43" s="13"/>
      <c r="D43" s="14"/>
      <c r="E43" s="14"/>
      <c r="F43" s="15"/>
      <c r="G43" s="70"/>
      <c r="H43" s="70"/>
      <c r="I43" s="14"/>
      <c r="J43" s="14"/>
      <c r="K43" s="71"/>
      <c r="L43" s="14"/>
      <c r="M43" s="14"/>
      <c r="N43" s="14"/>
      <c r="O43" s="19"/>
      <c r="P43" s="19"/>
      <c r="Q43" s="14"/>
      <c r="R43" s="14"/>
      <c r="S43" s="20" t="str">
        <f t="shared" si="3"/>
        <v>g0v tw hackath62n — 成果報告 —  ／  —  帶我去月球黑客松</v>
      </c>
      <c r="T43" s="14"/>
    </row>
    <row r="44" ht="15.0" customHeight="1">
      <c r="A44" s="69">
        <v>6.0</v>
      </c>
      <c r="B44" s="12">
        <v>0.6909722222222222</v>
      </c>
      <c r="C44" s="13"/>
      <c r="D44" s="14" t="s">
        <v>83</v>
      </c>
      <c r="E44" s="14" t="s">
        <v>36</v>
      </c>
      <c r="F44" s="15" t="s">
        <v>26</v>
      </c>
      <c r="G44" s="14" t="s">
        <v>84</v>
      </c>
      <c r="H44" s="14" t="s">
        <v>85</v>
      </c>
      <c r="I44" s="14" t="s">
        <v>86</v>
      </c>
      <c r="J44" s="14" t="s">
        <v>26</v>
      </c>
      <c r="K44" s="14"/>
      <c r="L44" s="14"/>
      <c r="M44" s="14"/>
      <c r="N44" s="14"/>
      <c r="O44" s="14"/>
      <c r="P44" s="14"/>
      <c r="Q44" s="14"/>
      <c r="R44" s="19"/>
      <c r="S44" s="20" t="str">
        <f t="shared" si="3"/>
        <v>g0v tw hackath62n — 成果報告 — Linux Odyssey ／ 宏信 —  帶我去月球黑客松</v>
      </c>
      <c r="T44" s="19"/>
    </row>
    <row r="45" ht="15.0" customHeight="1">
      <c r="A45" s="69">
        <v>7.0</v>
      </c>
      <c r="B45" s="12">
        <v>0.6944444444444444</v>
      </c>
      <c r="C45" s="13"/>
      <c r="D45" s="14" t="s">
        <v>92</v>
      </c>
      <c r="E45" s="14" t="s">
        <v>36</v>
      </c>
      <c r="F45" s="15"/>
      <c r="G45" s="14" t="s">
        <v>93</v>
      </c>
      <c r="H45" s="14" t="s">
        <v>94</v>
      </c>
      <c r="I45" s="14" t="s">
        <v>95</v>
      </c>
      <c r="J45" s="14"/>
      <c r="K45" s="27" t="s">
        <v>96</v>
      </c>
      <c r="L45" s="27" t="s">
        <v>185</v>
      </c>
      <c r="M45" s="14"/>
      <c r="N45" s="14"/>
      <c r="O45" s="14"/>
      <c r="P45" s="14"/>
      <c r="Q45" s="14"/>
      <c r="R45" s="19"/>
      <c r="S45" s="20" t="str">
        <f t="shared" si="3"/>
        <v>g0v tw hackath62n — 成果報告 — ChanceTix ／ OKHand —  帶我去月球黑客松</v>
      </c>
      <c r="T45" s="19"/>
    </row>
    <row r="46" ht="15.0" customHeight="1">
      <c r="A46" s="11">
        <v>8.0</v>
      </c>
      <c r="B46" s="12">
        <v>0.6979166666666666</v>
      </c>
      <c r="C46" s="13"/>
      <c r="D46" s="14"/>
      <c r="E46" s="14"/>
      <c r="F46" s="15"/>
      <c r="G46" s="14"/>
      <c r="H46" s="14"/>
      <c r="I46" s="14"/>
      <c r="J46" s="13"/>
      <c r="K46" s="30" t="s">
        <v>77</v>
      </c>
      <c r="L46" s="30" t="s">
        <v>78</v>
      </c>
      <c r="M46" s="13" t="s">
        <v>26</v>
      </c>
      <c r="N46" s="14" t="s">
        <v>80</v>
      </c>
      <c r="O46" s="14" t="s">
        <v>81</v>
      </c>
      <c r="P46" s="14" t="s">
        <v>82</v>
      </c>
      <c r="Q46" s="14"/>
      <c r="R46" s="19"/>
      <c r="S46" s="20" t="str">
        <f t="shared" si="3"/>
        <v>g0v tw hackath62n — 成果報告 —  ／  —  帶我去月球黑客松</v>
      </c>
      <c r="T46" s="19"/>
    </row>
    <row r="47" ht="15.0" customHeight="1">
      <c r="A47" s="69">
        <v>9.0</v>
      </c>
      <c r="B47" s="12">
        <v>0.7013888888888888</v>
      </c>
      <c r="C47" s="13"/>
      <c r="D47" s="14" t="s">
        <v>63</v>
      </c>
      <c r="E47" s="14" t="s">
        <v>36</v>
      </c>
      <c r="F47" s="15"/>
      <c r="G47" s="14" t="s">
        <v>186</v>
      </c>
      <c r="H47" s="29" t="s">
        <v>187</v>
      </c>
      <c r="I47" s="14"/>
      <c r="J47" s="13"/>
      <c r="K47" s="14"/>
      <c r="L47" s="30" t="s">
        <v>188</v>
      </c>
      <c r="M47" s="31"/>
      <c r="N47" s="32"/>
      <c r="O47" s="14"/>
      <c r="P47" s="14"/>
      <c r="Q47" s="14"/>
      <c r="R47" s="19"/>
      <c r="S47" s="20" t="str">
        <f t="shared" si="3"/>
        <v>g0v tw hackath62n — 成果報告 — 國會松 ／ Ronny —  帶我去月球黑客松</v>
      </c>
      <c r="T47" s="19"/>
    </row>
    <row r="48" ht="15.0" customHeight="1">
      <c r="A48" s="69">
        <v>10.0</v>
      </c>
      <c r="B48" s="12">
        <v>0.7048611111111112</v>
      </c>
      <c r="C48" s="13"/>
      <c r="D48" s="14" t="s">
        <v>109</v>
      </c>
      <c r="E48" s="14" t="s">
        <v>36</v>
      </c>
      <c r="F48" s="15" t="s">
        <v>26</v>
      </c>
      <c r="G48" s="14" t="s">
        <v>110</v>
      </c>
      <c r="H48" s="14" t="s">
        <v>189</v>
      </c>
      <c r="I48" s="14" t="s">
        <v>112</v>
      </c>
      <c r="J48" s="14" t="s">
        <v>26</v>
      </c>
      <c r="K48" s="14"/>
      <c r="L48" s="27" t="s">
        <v>113</v>
      </c>
      <c r="M48" s="14" t="s">
        <v>26</v>
      </c>
      <c r="N48" s="14" t="s">
        <v>114</v>
      </c>
      <c r="O48" s="14" t="s">
        <v>115</v>
      </c>
      <c r="P48" s="14" t="s">
        <v>116</v>
      </c>
      <c r="Q48" s="19"/>
      <c r="R48" s="19"/>
      <c r="S48" s="20" t="str">
        <f t="shared" si="3"/>
        <v>g0v tw hackath62n — 成果報告 — 論證-公共議題論述匯整平台 ／ T —  帶我去月球黑客松</v>
      </c>
      <c r="T48" s="19"/>
    </row>
    <row r="49" ht="15.0" customHeight="1">
      <c r="A49" s="69">
        <v>11.0</v>
      </c>
      <c r="B49" s="12">
        <v>0.7083333333333334</v>
      </c>
      <c r="C49" s="13"/>
      <c r="D49" s="14" t="s">
        <v>124</v>
      </c>
      <c r="E49" s="14" t="s">
        <v>36</v>
      </c>
      <c r="F49" s="15" t="s">
        <v>57</v>
      </c>
      <c r="G49" s="14" t="s">
        <v>125</v>
      </c>
      <c r="H49" s="48" t="s">
        <v>190</v>
      </c>
      <c r="I49" s="74"/>
      <c r="J49" s="74"/>
      <c r="K49" s="29"/>
      <c r="L49" s="75" t="s">
        <v>191</v>
      </c>
      <c r="M49" s="14"/>
      <c r="N49" s="14"/>
      <c r="O49" s="14" t="s">
        <v>192</v>
      </c>
      <c r="P49" s="19"/>
      <c r="Q49" s="14"/>
      <c r="R49" s="14"/>
      <c r="S49" s="20" t="str">
        <f t="shared" si="3"/>
        <v>g0v tw hackath62n — 成果報告 — 司法判決資料庫 ／ Eli —  帶我去月球黑客松</v>
      </c>
      <c r="T49" s="14"/>
    </row>
    <row r="50" ht="15.0" customHeight="1">
      <c r="A50" s="69">
        <v>12.0</v>
      </c>
      <c r="B50" s="12">
        <v>0.7118055555555556</v>
      </c>
      <c r="C50" s="13"/>
      <c r="D50" s="14" t="s">
        <v>193</v>
      </c>
      <c r="E50" s="14" t="s">
        <v>36</v>
      </c>
      <c r="F50" s="15" t="s">
        <v>26</v>
      </c>
      <c r="G50" s="76" t="s">
        <v>194</v>
      </c>
      <c r="H50" s="11" t="s">
        <v>195</v>
      </c>
      <c r="I50" s="14"/>
      <c r="J50" s="14"/>
      <c r="K50" s="77" t="s">
        <v>120</v>
      </c>
      <c r="L50" s="73" t="s">
        <v>196</v>
      </c>
      <c r="M50" s="14"/>
      <c r="N50" s="14"/>
      <c r="O50" s="14"/>
      <c r="P50" s="14"/>
      <c r="Q50" s="14"/>
      <c r="R50" s="14"/>
      <c r="S50" s="20" t="str">
        <f t="shared" si="3"/>
        <v>g0v tw hackath62n — 成果報告 — g0v.tw 社群治理頁面 ／ ichieh —  帶我去月球黑客松</v>
      </c>
      <c r="T50" s="14"/>
    </row>
    <row r="51" ht="15.0" customHeight="1">
      <c r="A51" s="69">
        <v>13.0</v>
      </c>
      <c r="B51" s="12">
        <v>0.7152777777777778</v>
      </c>
      <c r="C51" s="59"/>
      <c r="D51" s="14" t="s">
        <v>20</v>
      </c>
      <c r="E51" s="14" t="s">
        <v>36</v>
      </c>
      <c r="F51" s="15"/>
      <c r="G51" s="14"/>
      <c r="H51" s="14" t="s">
        <v>197</v>
      </c>
      <c r="I51" s="74"/>
      <c r="J51" s="74"/>
      <c r="K51" s="30" t="s">
        <v>198</v>
      </c>
      <c r="L51" s="14"/>
      <c r="M51" s="14"/>
      <c r="N51" s="14"/>
      <c r="O51" s="14"/>
      <c r="P51" s="14"/>
      <c r="Q51" s="14"/>
      <c r="R51" s="19"/>
      <c r="S51" s="20" t="str">
        <f t="shared" si="3"/>
        <v>g0v tw hackath62n — 成果報告 —  ／ 揪松團 —  帶我去月球黑客松</v>
      </c>
      <c r="T51" s="19"/>
    </row>
    <row r="52" ht="15.0" customHeight="1">
      <c r="A52" s="78"/>
      <c r="B52" s="79"/>
      <c r="C52" s="79"/>
      <c r="D52" s="80"/>
      <c r="E52" s="80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</row>
    <row r="53" ht="15.0" customHeight="1">
      <c r="A53" s="78"/>
      <c r="B53" s="79"/>
      <c r="C53" s="79"/>
      <c r="D53" s="80"/>
      <c r="E53" s="80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</row>
  </sheetData>
  <mergeCells count="5">
    <mergeCell ref="A1:O1"/>
    <mergeCell ref="A3:R3"/>
    <mergeCell ref="A4:O4"/>
    <mergeCell ref="A26:R26"/>
    <mergeCell ref="A38:R38"/>
  </mergeCells>
  <dataValidations>
    <dataValidation type="list" allowBlank="1" sqref="E5:E7">
      <formula1>"實體出席,預錄影片"</formula1>
    </dataValidation>
    <dataValidation type="list" allowBlank="1" sqref="E8:E22 E28:E31 E39:E51">
      <formula1>"實體,預錄影片"</formula1>
    </dataValidation>
  </dataValidations>
  <hyperlinks>
    <hyperlink r:id="rId1" ref="J2"/>
    <hyperlink r:id="rId2" ref="K5"/>
    <hyperlink r:id="rId3" ref="K7"/>
    <hyperlink r:id="rId4" location="/" ref="L7"/>
    <hyperlink r:id="rId5" ref="K8"/>
    <hyperlink r:id="rId6" ref="L8"/>
    <hyperlink r:id="rId7" ref="K9"/>
    <hyperlink r:id="rId8" ref="L9"/>
    <hyperlink r:id="rId9" ref="K10"/>
    <hyperlink r:id="rId10" location="slide=id.g28caf866bb2_1_0" ref="L10"/>
    <hyperlink r:id="rId11" ref="K11"/>
    <hyperlink r:id="rId12" location="slide=id.p" ref="L11"/>
    <hyperlink r:id="rId13" ref="K12"/>
    <hyperlink r:id="rId14" ref="L12"/>
    <hyperlink r:id="rId15" ref="K13"/>
    <hyperlink r:id="rId16" ref="L13"/>
    <hyperlink r:id="rId17" ref="K14"/>
    <hyperlink r:id="rId18" ref="L14"/>
    <hyperlink r:id="rId19" ref="P14"/>
    <hyperlink r:id="rId20" ref="K15"/>
    <hyperlink r:id="rId21" ref="L15"/>
    <hyperlink r:id="rId22" ref="K16"/>
    <hyperlink r:id="rId23" ref="L16"/>
    <hyperlink r:id="rId24" ref="L17"/>
    <hyperlink r:id="rId25" ref="K18"/>
    <hyperlink r:id="rId26" ref="L18"/>
    <hyperlink r:id="rId27" ref="L19"/>
    <hyperlink r:id="rId28" ref="L20"/>
    <hyperlink r:id="rId29" location="heading=h.jjrgrg9jdgqd" ref="K21"/>
    <hyperlink r:id="rId30" ref="L21"/>
    <hyperlink r:id="rId31" ref="J27"/>
    <hyperlink r:id="rId32" ref="L28"/>
    <hyperlink r:id="rId33" ref="K29"/>
    <hyperlink r:id="rId34" ref="L29"/>
    <hyperlink r:id="rId35" ref="L30"/>
    <hyperlink r:id="rId36" ref="K31"/>
    <hyperlink r:id="rId37" ref="L31"/>
    <hyperlink r:id="rId38" location="gid=1167343817" ref="K39"/>
    <hyperlink r:id="rId39" ref="K40"/>
    <hyperlink r:id="rId40" ref="K41"/>
    <hyperlink r:id="rId41" ref="L41"/>
    <hyperlink r:id="rId42" ref="L42"/>
    <hyperlink r:id="rId43" ref="K45"/>
    <hyperlink r:id="rId44" ref="L45"/>
    <hyperlink r:id="rId45" ref="K46"/>
    <hyperlink r:id="rId46" ref="L46"/>
    <hyperlink r:id="rId47" location="slide=id.g2ed3cfb9d0f_0_0" ref="L47"/>
    <hyperlink r:id="rId48" ref="L48"/>
    <hyperlink r:id="rId49" ref="L49"/>
    <hyperlink r:id="rId50" ref="G50"/>
    <hyperlink r:id="rId51" ref="K50"/>
    <hyperlink r:id="rId52" ref="L50"/>
    <hyperlink r:id="rId53" ref="K51"/>
  </hyperlinks>
  <drawing r:id="rId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81"/>
      <c r="L1" s="81">
        <v>101.0</v>
      </c>
      <c r="S1" s="82">
        <v>108.0</v>
      </c>
    </row>
    <row r="2" ht="39.0" customHeight="1">
      <c r="A2" s="59"/>
      <c r="B2" s="83" t="s">
        <v>199</v>
      </c>
      <c r="C2" s="84"/>
      <c r="D2" s="84"/>
      <c r="E2" s="84"/>
      <c r="F2" s="84"/>
      <c r="G2" s="85"/>
      <c r="H2" s="59"/>
      <c r="I2" s="59"/>
      <c r="J2" s="59"/>
      <c r="L2" s="86"/>
      <c r="M2" s="86"/>
      <c r="N2" s="86"/>
      <c r="O2" s="86"/>
      <c r="P2" s="86"/>
      <c r="Q2" s="59"/>
      <c r="R2" s="59"/>
      <c r="S2" s="81" t="s">
        <v>200</v>
      </c>
      <c r="T2" s="59"/>
      <c r="U2" s="81" t="s">
        <v>201</v>
      </c>
      <c r="X2" s="59"/>
    </row>
    <row r="3" ht="39.0" customHeight="1">
      <c r="A3" s="87"/>
      <c r="C3" s="88"/>
      <c r="D3" s="89"/>
      <c r="E3" s="90"/>
      <c r="F3" s="90"/>
      <c r="G3" s="91"/>
      <c r="H3" s="59"/>
      <c r="I3" s="59"/>
      <c r="J3" s="59"/>
      <c r="K3" s="92" t="s">
        <v>201</v>
      </c>
      <c r="L3" s="93"/>
      <c r="M3" s="94" t="s">
        <v>64</v>
      </c>
      <c r="N3" s="95"/>
      <c r="O3" s="95"/>
      <c r="P3" s="96"/>
      <c r="Q3" s="97"/>
      <c r="R3" s="59"/>
      <c r="S3" s="90"/>
      <c r="T3" s="90"/>
      <c r="U3" s="90"/>
      <c r="V3" s="90"/>
      <c r="W3" s="90"/>
      <c r="X3" s="59"/>
    </row>
    <row r="4" ht="39.0" customHeight="1">
      <c r="A4" s="87"/>
      <c r="B4" s="90"/>
      <c r="C4" s="89"/>
      <c r="D4" s="90"/>
      <c r="E4" s="14"/>
      <c r="F4" s="90"/>
      <c r="G4" s="98" t="s">
        <v>202</v>
      </c>
      <c r="H4" s="59"/>
      <c r="I4" s="59"/>
      <c r="J4" s="59"/>
      <c r="K4" s="99"/>
      <c r="L4" s="100"/>
      <c r="M4" s="90"/>
      <c r="N4" s="101"/>
      <c r="O4" s="102"/>
      <c r="P4" s="90"/>
      <c r="Q4" s="97"/>
      <c r="R4" s="59"/>
      <c r="S4" s="90"/>
      <c r="T4" s="90"/>
      <c r="U4" s="89"/>
      <c r="V4" s="102"/>
      <c r="W4" s="89"/>
      <c r="X4" s="59"/>
    </row>
    <row r="5" ht="39.0" customHeight="1">
      <c r="A5" s="87"/>
      <c r="B5" s="90"/>
      <c r="C5" s="90"/>
      <c r="D5" s="89"/>
      <c r="E5" s="90"/>
      <c r="F5" s="90"/>
      <c r="G5" s="90"/>
      <c r="H5" s="59"/>
      <c r="I5" s="59"/>
      <c r="J5" s="59"/>
      <c r="K5" s="99"/>
      <c r="L5" s="103"/>
      <c r="M5" s="93"/>
      <c r="N5" s="103"/>
      <c r="O5" s="100" t="s">
        <v>93</v>
      </c>
      <c r="P5" s="100"/>
      <c r="Q5" s="97"/>
      <c r="R5" s="59"/>
      <c r="S5" s="90"/>
      <c r="T5" s="90"/>
      <c r="U5" s="89"/>
      <c r="V5" s="90"/>
      <c r="W5" s="90"/>
      <c r="X5" s="59"/>
    </row>
    <row r="6" ht="39.0" customHeight="1">
      <c r="A6" s="87"/>
      <c r="B6" s="90"/>
      <c r="C6" s="90"/>
      <c r="D6" s="90"/>
      <c r="E6" s="102"/>
      <c r="F6" s="90"/>
      <c r="G6" s="91"/>
      <c r="H6" s="59"/>
      <c r="I6" s="59"/>
      <c r="J6" s="59"/>
      <c r="K6" s="99"/>
      <c r="L6" s="103"/>
      <c r="M6" s="90"/>
      <c r="N6" s="89"/>
      <c r="O6" s="90"/>
      <c r="P6" s="90"/>
      <c r="Q6" s="97"/>
      <c r="R6" s="59"/>
      <c r="S6" s="90"/>
      <c r="T6" s="90"/>
      <c r="U6" s="89"/>
      <c r="V6" s="90"/>
      <c r="W6" s="90"/>
      <c r="X6" s="59"/>
    </row>
    <row r="7" ht="39.0" customHeight="1">
      <c r="A7" s="87"/>
      <c r="B7" s="90"/>
      <c r="C7" s="104"/>
      <c r="D7" s="90"/>
      <c r="E7" s="90"/>
      <c r="F7" s="90"/>
      <c r="G7" s="98" t="s">
        <v>200</v>
      </c>
      <c r="H7" s="59"/>
      <c r="I7" s="59"/>
      <c r="J7" s="59"/>
      <c r="K7" s="99"/>
      <c r="L7" s="93"/>
      <c r="M7" s="100"/>
      <c r="N7" s="100"/>
      <c r="O7" s="100"/>
      <c r="P7" s="93"/>
      <c r="Q7" s="97"/>
      <c r="R7" s="59"/>
      <c r="S7" s="90"/>
      <c r="T7" s="90"/>
      <c r="U7" s="89"/>
      <c r="V7" s="90"/>
      <c r="W7" s="90"/>
      <c r="X7" s="59"/>
    </row>
    <row r="8" ht="39.0" customHeight="1">
      <c r="A8" s="87"/>
      <c r="B8" s="90"/>
      <c r="C8" s="105"/>
      <c r="D8" s="90"/>
      <c r="E8" s="90"/>
      <c r="F8" s="90"/>
      <c r="G8" s="90"/>
      <c r="H8" s="88"/>
      <c r="I8" s="88"/>
      <c r="J8" s="88"/>
      <c r="K8" s="99"/>
      <c r="L8" s="100" t="s">
        <v>203</v>
      </c>
      <c r="M8" s="102"/>
      <c r="N8" s="102"/>
      <c r="O8" s="102"/>
      <c r="P8" s="102"/>
      <c r="Q8" s="97"/>
      <c r="R8" s="59"/>
      <c r="S8" s="90"/>
      <c r="T8" s="90"/>
      <c r="U8" s="102"/>
      <c r="V8" s="90"/>
      <c r="W8" s="90"/>
      <c r="X8" s="59"/>
    </row>
    <row r="9" ht="39.0" customHeight="1">
      <c r="A9" s="87"/>
      <c r="B9" s="90"/>
      <c r="C9" s="90"/>
      <c r="D9" s="90"/>
      <c r="E9" s="90"/>
      <c r="F9" s="90"/>
      <c r="G9" s="90"/>
      <c r="H9" s="59"/>
      <c r="I9" s="59"/>
      <c r="J9" s="59"/>
      <c r="K9" s="99"/>
      <c r="L9" s="93"/>
      <c r="M9" s="106" t="s">
        <v>204</v>
      </c>
      <c r="N9" s="96"/>
      <c r="O9" s="107" t="s">
        <v>69</v>
      </c>
      <c r="P9" s="96"/>
      <c r="Q9" s="97"/>
      <c r="R9" s="59"/>
      <c r="S9" s="90"/>
      <c r="T9" s="90"/>
      <c r="U9" s="90"/>
      <c r="V9" s="90"/>
      <c r="W9" s="91"/>
      <c r="X9" s="59"/>
    </row>
    <row r="10" ht="39.0" customHeight="1">
      <c r="A10" s="59"/>
      <c r="B10" s="108"/>
      <c r="C10" s="108"/>
      <c r="D10" s="108"/>
      <c r="E10" s="108"/>
      <c r="F10" s="108"/>
      <c r="G10" s="108"/>
      <c r="H10" s="59"/>
      <c r="I10" s="59"/>
      <c r="J10" s="59"/>
      <c r="K10" s="59"/>
      <c r="L10" s="108"/>
      <c r="M10" s="108"/>
      <c r="N10" s="108"/>
      <c r="O10" s="108"/>
      <c r="P10" s="109" t="s">
        <v>200</v>
      </c>
      <c r="Q10" s="59"/>
      <c r="R10" s="59"/>
      <c r="S10" s="59"/>
      <c r="T10" s="59"/>
      <c r="U10" s="59"/>
      <c r="V10" s="59"/>
      <c r="W10" s="59"/>
      <c r="X10" s="59"/>
    </row>
    <row r="11" ht="39.0" customHeight="1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</row>
    <row r="12" ht="39.0" customHeight="1">
      <c r="A12" s="59"/>
      <c r="B12" s="59"/>
      <c r="C12" s="13" t="s">
        <v>37</v>
      </c>
      <c r="D12" s="59"/>
      <c r="E12" s="59"/>
      <c r="F12" s="13" t="s">
        <v>205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</row>
    <row r="13" ht="39.0" customHeight="1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</row>
    <row r="14" ht="39.0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ht="39.0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</row>
    <row r="16" ht="39.0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</row>
    <row r="17" ht="39.0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ht="39.0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</row>
    <row r="19" ht="39.0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</row>
    <row r="20" ht="39.0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</row>
    <row r="21" ht="39.0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</row>
    <row r="22" ht="39.0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</row>
    <row r="23" ht="39.0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</row>
    <row r="24" ht="39.0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</row>
    <row r="25" ht="39.0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</row>
    <row r="26" ht="39.0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</row>
    <row r="27" ht="39.0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</row>
    <row r="28" ht="39.0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</row>
    <row r="29" ht="39.0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</row>
    <row r="30" ht="39.0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</row>
    <row r="31" ht="39.0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</row>
    <row r="32" ht="39.0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</row>
    <row r="33" ht="39.0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</row>
    <row r="34" ht="39.0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</row>
    <row r="35" ht="39.0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</row>
    <row r="36" ht="39.0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</row>
    <row r="37" ht="39.0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</row>
    <row r="38" ht="39.0" customHeight="1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</row>
    <row r="39" ht="39.0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</row>
    <row r="40" ht="39.0" customHeight="1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</row>
    <row r="41" ht="39.0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</row>
    <row r="42" ht="39.0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</row>
    <row r="43" ht="39.0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</row>
    <row r="44" ht="39.0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ht="39.0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</row>
    <row r="46" ht="39.0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</row>
    <row r="47" ht="39.0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</row>
    <row r="48" ht="39.0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</row>
    <row r="49" ht="39.0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</row>
    <row r="50" ht="39.0" customHeight="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</row>
    <row r="51" ht="39.0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</row>
    <row r="52" ht="39.0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</row>
    <row r="53" ht="39.0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</row>
    <row r="54" ht="39.0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</row>
    <row r="55" ht="39.0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</row>
    <row r="56" ht="39.0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</row>
    <row r="57" ht="39.0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</row>
    <row r="58" ht="39.0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</row>
    <row r="59" ht="39.0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</row>
    <row r="60" ht="39.0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</row>
    <row r="61" ht="39.0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</row>
    <row r="62" ht="39.0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</row>
    <row r="63" ht="39.0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</row>
    <row r="64" ht="39.0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</row>
    <row r="65" ht="39.0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</row>
    <row r="66" ht="39.0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</row>
    <row r="67" ht="39.0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</row>
    <row r="68" ht="39.0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</row>
    <row r="69" ht="39.0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</row>
    <row r="70" ht="39.0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</row>
    <row r="71" ht="39.0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</row>
    <row r="72" ht="39.0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</row>
    <row r="73" ht="39.0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</row>
    <row r="74" ht="39.0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</row>
    <row r="75" ht="39.0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</row>
    <row r="76" ht="39.0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</row>
    <row r="77" ht="39.0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</row>
    <row r="78" ht="39.0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</row>
    <row r="79" ht="39.0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</row>
    <row r="80" ht="39.0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</row>
    <row r="81" ht="39.0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</row>
    <row r="82" ht="39.0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</row>
    <row r="83" ht="39.0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</row>
    <row r="84" ht="39.0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ht="39.0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</row>
    <row r="86" ht="39.0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</row>
    <row r="87" ht="39.0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</row>
    <row r="88" ht="39.0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</row>
    <row r="89" ht="39.0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</row>
    <row r="90" ht="39.0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</row>
    <row r="91" ht="39.0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</row>
    <row r="92" ht="39.0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</row>
    <row r="93" ht="39.0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</row>
    <row r="94" ht="39.0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</row>
    <row r="95" ht="39.0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</row>
    <row r="96" ht="39.0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</row>
    <row r="97" ht="39.0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</row>
    <row r="98" ht="39.0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</row>
    <row r="99" ht="39.0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</row>
    <row r="100" ht="39.0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</row>
    <row r="101" ht="39.0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</row>
  </sheetData>
  <mergeCells count="9">
    <mergeCell ref="M9:N9"/>
    <mergeCell ref="O9:P9"/>
    <mergeCell ref="B1:F1"/>
    <mergeCell ref="L1:P1"/>
    <mergeCell ref="S1:W1"/>
    <mergeCell ref="B2:F2"/>
    <mergeCell ref="U2:W2"/>
    <mergeCell ref="K3:K9"/>
    <mergeCell ref="M3:P3"/>
  </mergeCells>
  <conditionalFormatting sqref="U8">
    <cfRule type="notContainsBlanks" dxfId="0" priority="1">
      <formula>LEN(TRIM(U8))&gt;0</formula>
    </cfRule>
  </conditionalFormatting>
  <drawing r:id="rId1"/>
</worksheet>
</file>