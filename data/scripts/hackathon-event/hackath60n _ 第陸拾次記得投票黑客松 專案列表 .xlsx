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 Agenda " sheetId="1" r:id="rId3"/>
    <sheet state="visible" name="各專案位置圖 Map" sheetId="2" r:id="rId4"/>
    <sheet state="visible" name="零時小學校 4th 專案孵化競賽【初選入圍團隊】提案優化工作坊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4">
      <text>
        <t xml:space="preserve">授權方案 好像不見了～
	-劉哲瑋</t>
      </text>
    </comment>
    <comment authorId="0" ref="L9">
      <text>
        <t xml:space="preserve">非常抱歉，居然貼錯網址了；；
	-Sky Hong</t>
      </text>
    </comment>
  </commentList>
</comments>
</file>

<file path=xl/sharedStrings.xml><?xml version="1.0" encoding="utf-8"?>
<sst xmlns="http://schemas.openxmlformats.org/spreadsheetml/2006/main" count="526" uniqueCount="336">
  <si>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</si>
  <si>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</si>
  <si>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</si>
  <si>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</si>
  <si>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</si>
  <si>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</si>
  <si>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</si>
  <si>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</si>
  <si>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r>
      <rPr>
        <b/>
        <color rgb="FF000000"/>
        <sz val="10.0"/>
      </rPr>
      <t>g0v Podcast</t>
    </r>
    <r>
      <rPr>
        <b/>
        <sz val="10.0"/>
      </rPr>
      <t xml:space="preserve">
</t>
    </r>
    <r>
      <rPr>
        <b/>
        <color rgb="FF1155CC"/>
        <sz val="10.0"/>
        <u/>
      </rPr>
      <t>松後推坑電台</t>
    </r>
    <r>
      <rPr>
        <b/>
        <sz val="10.0"/>
      </rPr>
      <t xml:space="preserve">
受訪意願? (Y/?)</t>
    </r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</si>
  <si>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</si>
  <si>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</si>
  <si>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</si>
  <si>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</si>
  <si>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</si>
  <si>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
Contacts</t>
  </si>
  <si>
    <t>youtube url: 專案報告 或是 預錄影片</t>
  </si>
  <si>
    <t>youtube url: 成果報告</t>
  </si>
  <si>
    <t>youtube title</t>
  </si>
  <si>
    <t>09:30開場，09:40提案開始【3分鐘提案報名】每個 present 3min，提案、徵人。</t>
  </si>
  <si>
    <t>＊無法實體出席者，建議以預錄影片提案。並將提案影片連結填在欄位「O：youtube url 或是 預錄影片」</t>
  </si>
  <si>
    <t>fly</t>
  </si>
  <si>
    <t>預錄影片</t>
  </si>
  <si>
    <t>Y</t>
  </si>
  <si>
    <t>醬活</t>
  </si>
  <si>
    <t>開放、即興、自然地活著</t>
  </si>
  <si>
    <t>CC0</t>
  </si>
  <si>
    <t>https://g0v.hackmd.io/@flyo/flyism</t>
  </si>
  <si>
    <t>https://k.flyism.org</t>
  </si>
  <si>
    <t>開放、即興、自然</t>
  </si>
  <si>
    <t>閱讀、聊天、遊戲、擁抱</t>
  </si>
  <si>
    <t>g0v slack #flyism @fly / fb.me/flyism / LINE: leovgrace</t>
  </si>
  <si>
    <t>https://youtu.be/NfnmWEhiBtg</t>
  </si>
  <si>
    <t>揪松團</t>
  </si>
  <si>
    <t>實體</t>
  </si>
  <si>
    <t>繁體中文 AI 開源實踐計畫</t>
  </si>
  <si>
    <t>【繁體中文 AI 開源實踐計畫】單一專案獎助金最高 50 萬即日起開始徵件 Traditional Chinese AI Open Source Grant</t>
  </si>
  <si>
    <t>CC-BY</t>
  </si>
  <si>
    <t>https://sch001.g0v.tw/means/</t>
  </si>
  <si>
    <t>繁體中文, LLM, 單一專案獎助金 20-50 萬</t>
  </si>
  <si>
    <t>繁中 LLM 開源實作</t>
  </si>
  <si>
    <t>g0v slack #jothon
g0v slack #ai-learning</t>
  </si>
  <si>
    <t>宏信</t>
  </si>
  <si>
    <t>Linux Odyssey</t>
  </si>
  <si>
    <t>互動式終端機教學網站</t>
  </si>
  <si>
    <t>GPLv3</t>
  </si>
  <si>
    <t>https://g0v.hackmd.io/@wancat/linux-odyssey</t>
  </si>
  <si>
    <t>https://hackmd.io/@wancat/linux-odyssey-20240106</t>
  </si>
  <si>
    <t>資訊教育、Linux、自由軟體</t>
  </si>
  <si>
    <t>試玩體驗者：零基礎佳！告訴我們你的感想
UI/UX 設計師：提升網頁的使用者體驗
網頁前後端開發者：NodeJS, VueJS, Docker
資訊教育從業者：討論導入教學現場的可能性</t>
  </si>
  <si>
    <t>g0v slack #linux-odyssey</t>
  </si>
  <si>
    <t>https://linuxodyssey.xyz</t>
  </si>
  <si>
    <t>Ted</t>
  </si>
  <si>
    <t>開放學生自治社群</t>
  </si>
  <si>
    <t>CC-BY 4.0</t>
  </si>
  <si>
    <t>https://g0v.hackmd.io/dF5TkVAzRI-A11RRFu4TaA</t>
  </si>
  <si>
    <t>學生自治、開放文化、推廣</t>
  </si>
  <si>
    <t>對學生自治與開源文化推廣至不同領域有經驗或想法的夥伴</t>
  </si>
  <si>
    <t>Sky / 蓋蓋</t>
  </si>
  <si>
    <t>SITCON 編輯組</t>
  </si>
  <si>
    <t>開放社群媒體治理方式反思 / 建構
feat. SITCON 2024 編輯組實體聚聚</t>
  </si>
  <si>
    <t>https://docs.google.com/document/d/1w5bsZc_jRilntL6jidODwvSUL7soIz09pzCScowE9VY/edit</t>
  </si>
  <si>
    <t>https://docs.google.com/presentation/d/135b4_AhlPvTwcEyuLAmjnzxzN4Ul_tbSQX3D6rK61TM/edit#slide=id.p</t>
  </si>
  <si>
    <t>社群治理、協同經營、SITCON 3/9 在中研院</t>
  </si>
  <si>
    <t>對於 SNS 社群治理有興趣/經驗的人
有經營粉絲專頁經驗、了解形象塑造的人
了解 SITCON 會眾想知道哪些事情的人
熟悉 Meta 拯救觸及方式或投放廣告方式的人</t>
  </si>
  <si>
    <t>g0v slack @skyhong2002 #sns</t>
  </si>
  <si>
    <t>ddio</t>
  </si>
  <si>
    <t>Rentea</t>
  </si>
  <si>
    <t>你想在 g0v Summit 聊什麼租屋議題？</t>
  </si>
  <si>
    <t>https://g0v.hackmd.io/kHm-7vUzSVa6piLJM3H7cA</t>
  </si>
  <si>
    <t>https://g0v.hackmd.io/@ddio-io/By-bTOr_a#/</t>
  </si>
  <si>
    <t>居住者觀點、開源與團結經濟、行動主義</t>
  </si>
  <si>
    <t>租屋族、認同居住權比財產權重要的人</t>
  </si>
  <si>
    <t>g0v slack #rentea</t>
  </si>
  <si>
    <t>Bil</t>
  </si>
  <si>
    <t>Cofacts 真的假的</t>
  </si>
  <si>
    <t>Cofacts 真的假的要被選舉訊息淹沒啦／
台灣選務謠言筆記</t>
  </si>
  <si>
    <t>MIT, 
CC-BY-SA</t>
  </si>
  <si>
    <t>y</t>
  </si>
  <si>
    <t>https://cofacts.tw/hack</t>
  </si>
  <si>
    <t>https://docs.google.com/presentation/d/1vCi5IpGvNEuNE7OP9o8shEiU0LYTjG_B6EX68-tY_A4/edit</t>
  </si>
  <si>
    <t>程式開發、事實查核、AI</t>
  </si>
  <si>
    <t>關心選務謠言的人
會 NodeJS / ReactJS 的人</t>
  </si>
  <si>
    <t>g0v slack #cofacts @mrorz @bil</t>
  </si>
  <si>
    <t>零時小學校</t>
  </si>
  <si>
    <t>數位公民教育專書 - 「專案實作」需要你一起共編！</t>
  </si>
  <si>
    <t>https://g0v.hackmd.io/@jothon/sch001book2023</t>
  </si>
  <si>
    <t>https://docs.google.com/presentation/d/1RmRK5q-v5zzbVXZs2tIIbYTuMjiR7CURnB30h0raQEM/edit?usp=sharing</t>
  </si>
  <si>
    <t>數位公民教育、出書、專案實作</t>
  </si>
  <si>
    <t>任何對此書有興趣的夥伴都歡迎一起協作和回饋！也特別歡迎教育工作者回饋如何更適合教育工作者理解此些內容。</t>
  </si>
  <si>
    <t>g0v slack #edu @tiff</t>
  </si>
  <si>
    <t>RSChiang</t>
  </si>
  <si>
    <t>Summit</t>
  </si>
  <si>
    <t>✴️ ☆㊣↙煞氣 ê g0v Summit 2024 紀念品製作投票中↗㊣☆</t>
  </si>
  <si>
    <t>CC BY-SA 4.0</t>
  </si>
  <si>
    <t>https://g0v.hackmd.io/@summit2024/book</t>
  </si>
  <si>
    <t>https://docs.google.com/presentation/d/1ti_OnAg_lOjtJ83dOx5MFExqCP-4BplWtkk8CE6EdfI/edit#slide=id.p</t>
  </si>
  <si>
    <r>
      <rPr>
        <color rgb="FF1155CC"/>
        <u/>
      </rPr>
      <t xml:space="preserve">Summit 紀念品投票！
</t>
    </r>
    <r>
      <rPr/>
      <t>有專案想投稿的你！（講者）
熟悉多國語言的你！（翻譯）
想來做浮誇紀念品的你！（設計師）
想與多方人馬接觸的你！（議程助理）
文筆充滿魅力的你！（社群小編）</t>
    </r>
  </si>
  <si>
    <t>g0v slack #summit-2024-bootstrap</t>
  </si>
  <si>
    <t>嗡嗡</t>
  </si>
  <si>
    <t>PrideWatch彩虹選民投票指南</t>
  </si>
  <si>
    <t>PrideWatch看比不看更好投！
要選舉了你知道要投給誰了嗎</t>
  </si>
  <si>
    <t>https://www.youtube.com/watch?v=9qR-SyWal04</t>
  </si>
  <si>
    <t>https://docs.google.com/presentation/d/1xZm9I6Erd7QN3ZWl1Qo_iGQxNPShah2X/edit?usp=sharing&amp;ouid=111636375346861552084&amp;rtpof=true&amp;sd=true</t>
  </si>
  <si>
    <t>政治、多元性別、選舉</t>
  </si>
  <si>
    <t>以下 5 席保留給首次於黑客松提案的參與者 👍
（保留至 1/3 週三 23:59，後續開放所有人提案！）</t>
  </si>
  <si>
    <t>Peter</t>
  </si>
  <si>
    <t>vtaiwan</t>
  </si>
  <si>
    <t xml:space="preserve">Considerit 試玩與 vTaiwan for all </t>
  </si>
  <si>
    <t>https://g0v.hackmd.io/@Pno233SAS8G5UfL5OvSRmA/SkWxaiMS_T</t>
  </si>
  <si>
    <t>https://docs.google.com/presentation/d/1Ehztx8BlTJxaKuWd6tSKEnrdJI0eW6gmb3Di7Ohscc0/edit?usp=sharing</t>
  </si>
  <si>
    <t>社群參與、活動、新的公民線上參與工具</t>
  </si>
  <si>
    <t>前端工程師：協助網頁設計與優化
活動參與者：來吃吃喝喝跟聊天
活動籌辦者：來讓大家吃吃喝喝跟聊天
社群媒體經營者：來發文！</t>
  </si>
  <si>
    <t>g0v slack #vTaiwan 
g0v slack @peter @eli 
sdfghj1001@gmail.com</t>
  </si>
  <si>
    <t>齊一</t>
  </si>
  <si>
    <t>N</t>
  </si>
  <si>
    <t>綠洲計畫LZGH</t>
  </si>
  <si>
    <t>綠洲計畫LZGH－－引領偏鄉學子走入特殊選才</t>
  </si>
  <si>
    <t>CC BY</t>
  </si>
  <si>
    <t>https://www.canva.com/design/DAF4qFDUtAo/EH1FW7bUrNfmIaioLtAkfQ/view</t>
  </si>
  <si>
    <t>教育、升學、特殊選才</t>
  </si>
  <si>
    <t>關心特殊選才和升學機制的高中生、大學生</t>
  </si>
  <si>
    <t>g0v slack chiyi4488 (U010WH9GBB4)
建議電郵: chiyi4869@gmail.com</t>
  </si>
  <si>
    <t>https://youtu.be/Kj_2cx2xGP8</t>
  </si>
  <si>
    <t>Yvonne</t>
  </si>
  <si>
    <t>g0v 參與者輪廓初探</t>
  </si>
  <si>
    <r>
      <rPr/>
      <t xml:space="preserve">Slide: </t>
    </r>
    <r>
      <rPr>
        <color rgb="FF5FB4F1"/>
        <u/>
      </rPr>
      <t>https://drive.google.com/file/d/1S2k09nD9-RfFx_3u-u-FiJPmgy0SM0Za/view?usp=sharing</t>
    </r>
    <r>
      <rPr/>
      <t xml:space="preserve"> </t>
    </r>
    <r>
      <rPr>
        <color rgb="FFC5C0B8"/>
      </rPr>
      <t xml:space="preserve">
</t>
    </r>
    <r>
      <rPr/>
      <t xml:space="preserve">form: </t>
    </r>
    <r>
      <rPr>
        <color rgb="FF5FB4F1"/>
        <u/>
      </rPr>
      <t xml:space="preserve">https://forms.gle/anNMonsUXwwepr2B9
</t>
    </r>
    <r>
      <rPr/>
      <t xml:space="preserve">QR code: </t>
    </r>
    <r>
      <rPr>
        <color rgb="FF56A3F1"/>
        <u/>
      </rPr>
      <t>https://drive.google.com/file/d/1HiMrazK43BOxo3H5IOyPtsmUvopDk7bR/view?usp=sharing</t>
    </r>
    <r>
      <rPr/>
      <t xml:space="preserve"> </t>
    </r>
  </si>
  <si>
    <t>參與、學生、g0v</t>
  </si>
  <si>
    <t>參與 g0v 社群的學生（高中生、大學生、研究生）</t>
  </si>
  <si>
    <t>g0V slack: Yvonne</t>
  </si>
  <si>
    <t>Stanley</t>
  </si>
  <si>
    <t>公益專案到區塊鏈世界拉贊助！？</t>
  </si>
  <si>
    <t>https://hackmd.io/J9uXJgrHTcuYDqO8nbkQxQ#/</t>
  </si>
  <si>
    <t>https://hackmd.io/@greensofa/GitcoinGrantsWalkthrough?view</t>
  </si>
  <si>
    <t xml:space="preserve"> 拉贊助、拉贊助、拉贊助</t>
  </si>
  <si>
    <t>需要拉贊助的公益專案</t>
  </si>
  <si>
    <t>g0v Slack: Stanley, mashbean, denkeni</t>
  </si>
  <si>
    <t>paul</t>
  </si>
  <si>
    <t>數位韌性松 digital resilience hackathon</t>
  </si>
  <si>
    <t>數位韌性心慌（？）月報</t>
  </si>
  <si>
    <t>CC-BY-SA
4.0</t>
  </si>
  <si>
    <t>https://g0v.hackmd.io/@paulpengtw/DigiResiTh0n-home</t>
  </si>
  <si>
    <t>https://gamma.app/public/-k2mshk2q40b53ck</t>
  </si>
  <si>
    <t>網路、韌性、民防</t>
  </si>
  <si>
    <r>
      <rPr/>
      <t>for 開發者：</t>
    </r>
    <r>
      <rPr>
        <color rgb="FF1155CC"/>
        <u/>
      </rPr>
      <t xml:space="preserve">請點這裡
</t>
    </r>
    <r>
      <rPr/>
      <t>for 非軟硬體開發者：</t>
    </r>
    <r>
      <rPr>
        <color rgb="FF1155CC"/>
        <u/>
      </rPr>
      <t xml:space="preserve">請點這裡
</t>
    </r>
    <r>
      <rPr/>
      <t xml:space="preserve">for english services </t>
    </r>
    <r>
      <rPr>
        <color rgb="FF1155CC"/>
        <u/>
      </rPr>
      <t>please press here</t>
    </r>
  </si>
  <si>
    <r>
      <rPr>
        <color rgb="FF1155CC"/>
        <u/>
      </rPr>
      <t>g0v slack #civil-defense</t>
    </r>
    <r>
      <rPr/>
      <t xml:space="preserve"> channel</t>
    </r>
  </si>
  <si>
    <t>== 截止 ==</t>
  </si>
  <si>
    <t>14:30【8分鐘短講報名】
每個 present 8min，分享議題、專案、研究、技術皆可。</t>
  </si>
  <si>
    <t>順序</t>
  </si>
  <si>
    <t>發表時間（自填）</t>
  </si>
  <si>
    <t>短講形式
Form</t>
  </si>
  <si>
    <t>錄影以 CC-BY 釋出?</t>
  </si>
  <si>
    <t xml:space="preserve">短講授權
Talk License </t>
  </si>
  <si>
    <r>
      <rPr>
        <b/>
        <sz val="10.0"/>
      </rPr>
      <t xml:space="preserve">是否授權上架 </t>
    </r>
    <r>
      <rPr>
        <b/>
        <color rgb="FF1155CC"/>
        <sz val="10.0"/>
        <u/>
      </rPr>
      <t>大松實況電台</t>
    </r>
    <r>
      <rPr>
        <b/>
        <sz val="10.0"/>
      </rPr>
      <t>?(Y/?)</t>
    </r>
  </si>
  <si>
    <t>相關連結</t>
  </si>
  <si>
    <t>三個關鍵字
3 Keywords of talk</t>
  </si>
  <si>
    <t>Stamford</t>
  </si>
  <si>
    <t>鏈上大松💗</t>
  </si>
  <si>
    <r>
      <rPr/>
      <t xml:space="preserve">PPT: </t>
    </r>
    <r>
      <rPr>
        <color rgb="FF1155CC"/>
        <u/>
      </rPr>
      <t xml:space="preserve">https://docs.google.com/presentation/d/1j_tyHc_fpaFLkyPJCylNV_h2eevYU8I4rVfNdYZBFHs/edit#slide=id.g2650ad051d4_0_0
</t>
    </r>
    <r>
      <rPr/>
      <t xml:space="preserve">預錄: </t>
    </r>
    <r>
      <rPr>
        <color rgb="FF1155CC"/>
        <u/>
      </rPr>
      <t>https://youtu.be/U8YTMdU5nOQ</t>
    </r>
    <r>
      <rPr/>
      <t xml:space="preserve"> </t>
    </r>
  </si>
  <si>
    <t>web3、代幣動力、資產為本社區發展應用</t>
  </si>
  <si>
    <t>有興趣的都歡迎</t>
  </si>
  <si>
    <t>g0v slack @Stamford</t>
  </si>
  <si>
    <t>Linux Odyssey 技術架構分享</t>
  </si>
  <si>
    <t>Stanley、豆泥</t>
  </si>
  <si>
    <t>Gitcoin Grants 國際贊助大攻略</t>
  </si>
  <si>
    <t>https://hackmd.io/@greensofa/GitcoinGrantsWalkthrough?view#/4</t>
  </si>
  <si>
    <t>YuTin</t>
  </si>
  <si>
    <t>馬路如戰場 - 止血 Stop The Bleed</t>
  </si>
  <si>
    <t>https://docs.google.com/presentation/d/1fO5RLj8tOezYEroLziuuGGLznYRfvtPSX30F52zFugg/edit?usp=sharing</t>
  </si>
  <si>
    <t>本期開放4位8分鐘</t>
  </si>
  <si>
    <t>16:00【 present project】 規則：
每個 present 5min，可視 project 數量和剩餘時間調整</t>
  </si>
  <si>
    <t xml:space="preserve">peter </t>
  </si>
  <si>
    <t xml:space="preserve">vTaiwan </t>
  </si>
  <si>
    <t xml:space="preserve">Joey </t>
  </si>
  <si>
    <t>民防下午茶 CD T-Time</t>
  </si>
  <si>
    <t>民防現況與挑戰，大家是否有在關心，可以如何開啟討論</t>
  </si>
  <si>
    <t>https://hackmd.io/@ATM_R5IeQ8aBci8yu46Jjw/B1ZTrOL_p</t>
  </si>
  <si>
    <t>https://www.canva.com/design/DAF5BIGUn2M/--wnCAhvESdYXBFdsAVw3w/edit?ui=eyJHIjp7fX0</t>
  </si>
  <si>
    <t>eric</t>
  </si>
  <si>
    <t>Grapycal</t>
  </si>
  <si>
    <t>A highly interactive visual programming language</t>
  </si>
  <si>
    <t>BSD 3-clause</t>
  </si>
  <si>
    <t>https://docs.google.com/presentation/d/1akiVArknNCENGLJM0rpsFGGa7rCJWvuAAvfEU5B76Jk/edit?usp=sharing</t>
  </si>
  <si>
    <t xml:space="preserve">Python
圖形化程式語言
</t>
  </si>
  <si>
    <t>Python dev
Frontend dev
Extension 製作者</t>
  </si>
  <si>
    <r>
      <rPr/>
      <t xml:space="preserve">demo: </t>
    </r>
    <r>
      <rPr>
        <color rgb="FF1155CC"/>
        <u/>
      </rPr>
      <t>https://frontend.grapycal.org</t>
    </r>
    <r>
      <rPr/>
      <t xml:space="preserve">
email :contact@grapycal.org
discord: </t>
    </r>
    <r>
      <rPr>
        <color rgb="FF1155CC"/>
        <u/>
      </rPr>
      <t>https://discord.com/invite/adNQcS42CT</t>
    </r>
  </si>
  <si>
    <t xml:space="preserve">summit </t>
  </si>
  <si>
    <t xml:space="preserve">g0v summit </t>
  </si>
  <si>
    <t>https://g0v.hackmd.io/@summit2024/book/https%3A%2F%2Fg0v.hackmd.io%2FdttYgGq1SmqCCp4ZntffZw</t>
  </si>
  <si>
    <t>https://docs.google.com/presentation/d/1ti_OnAg_lOjtJ83dOx5MFExqCP-4BplWtkk8CE6EdfI/edit?usp=sharing</t>
  </si>
  <si>
    <t>https://g0v.hackmd.io/@Ted-Lu/SyyKTx4_a</t>
  </si>
  <si>
    <t>g0v Slack #open-student-org</t>
  </si>
  <si>
    <t>MrOrz</t>
  </si>
  <si>
    <t>chewei</t>
  </si>
  <si>
    <t>WaytoSafety 隨時隨地知道避難場所位置</t>
  </si>
  <si>
    <t>WaytoSafety 隨時隨地知道避難場所位置 - 蒐集臺日韓疏散避難及收容地點</t>
  </si>
  <si>
    <t>https://g0v.hackmd.io/@chewei/WaytoSafety</t>
  </si>
  <si>
    <t>https://docs.google.com/presentation/d/1nxQ7S_vkNjG04i2ixLPt2Znuso2FJE6EXhWem4BMSpw/edit</t>
  </si>
  <si>
    <t>防災, 日語, 韓語, gis data</t>
  </si>
  <si>
    <t>臺灣資料討論頻道 g0v slack #disaster-go
日韓資料討論頻道 g0v slack #facing-the-ocean</t>
  </si>
  <si>
    <t>小K</t>
  </si>
  <si>
    <t xml:space="preserve">EZ'shift </t>
  </si>
  <si>
    <t>青年組織人才媒合平台</t>
  </si>
  <si>
    <t>https://sch001.g0v.tw/dash/prj/PnW85Gc3Ab9mN37f5K6C96w203IqUV</t>
  </si>
  <si>
    <t>https://www.canva.com/design/DAF5D8MJMr4/tUh5ITie0HDjIFcOGsuIJg/edit?utm_content=DAF5D8MJMr4&amp;utm_campaign=designshare&amp;utm_medium=link2&amp;utm_source=sharebutton</t>
  </si>
  <si>
    <t>青年組織、媒合、社會參與</t>
  </si>
  <si>
    <t>網站工程師的技術開發支援：因為目前團隊沒有相關的技術人員，因此可能需要技術專家的協助，確保平台的穩定性和安全性。</t>
  </si>
  <si>
    <t>g0v slack#ez-shift</t>
  </si>
  <si>
    <t>Hsuan</t>
  </si>
  <si>
    <t>https://sch001.g0v.tw/dash/prj/PnB4vTW30nTEyCRS51xCsJaLMXyCV2</t>
  </si>
  <si>
    <t>Sean and Paul</t>
  </si>
  <si>
    <t>數位韌性松近期成果分享</t>
  </si>
  <si>
    <r>
      <rPr>
        <color rgb="FF1155CC"/>
        <u/>
      </rPr>
      <t xml:space="preserve">- </t>
    </r>
    <r>
      <rPr>
        <color rgb="FF1155CC"/>
        <u/>
      </rPr>
      <t xml:space="preserve">https://gamma.app/docs/-k2mshk2q40b53ck?mode=doc#card-t88o70jp4f2ay65
</t>
    </r>
    <r>
      <rPr>
        <color rgb="FF1155CC"/>
        <u/>
      </rPr>
      <t xml:space="preserve">- </t>
    </r>
    <r>
      <rPr>
        <color rgb="FF1155CC"/>
        <u/>
      </rPr>
      <t>https://g0v.hackmd.io/@paulpengtw/DigiResiTh0n-home/%2FoyNRfe4lTuaZ5RbcPSS7TQ</t>
    </r>
  </si>
  <si>
    <r>
      <rPr/>
      <t>for 開發者：</t>
    </r>
    <r>
      <rPr>
        <color rgb="FF1155CC"/>
        <u/>
      </rPr>
      <t xml:space="preserve">請點這裡
</t>
    </r>
    <r>
      <rPr/>
      <t>for 非軟硬體開發者：</t>
    </r>
    <r>
      <rPr>
        <color rgb="FF1155CC"/>
        <u/>
      </rPr>
      <t xml:space="preserve">請點這裡
</t>
    </r>
    <r>
      <rPr/>
      <t xml:space="preserve">for english services </t>
    </r>
    <r>
      <rPr>
        <color rgb="FF1155CC"/>
        <u/>
      </rPr>
      <t>please press here</t>
    </r>
  </si>
  <si>
    <r>
      <rPr>
        <color rgb="FF1155CC"/>
        <u/>
      </rPr>
      <t>g0v slack #civil-defense</t>
    </r>
    <r>
      <rPr/>
      <t xml:space="preserve"> channel</t>
    </r>
  </si>
  <si>
    <t>歡迎大家填寫影響力問卷</t>
  </si>
  <si>
    <t>https://bit.ly/0123g0vsurvey</t>
  </si>
  <si>
    <t>定期定額贊助 g0v 黑客松：https://ocf.neticrm.tw/civicrm/contribute/transact?reset=1&amp;id=30</t>
  </si>
  <si>
    <r>
      <rPr>
        <sz val="18.0"/>
      </rPr>
      <t>108</t>
    </r>
    <r>
      <rPr>
        <sz val="15.0"/>
      </rPr>
      <t>（下午專案孵化競賽提案優化工作坊）</t>
    </r>
  </si>
  <si>
    <t>開場場地 舞台</t>
  </si>
  <si>
    <t>白板</t>
  </si>
  <si>
    <t>門
Entry</t>
  </si>
  <si>
    <t>PrideWatch 彩虹選民投票指南</t>
  </si>
  <si>
    <t>開放社群媒體治理方式
建構與反思</t>
  </si>
  <si>
    <t>台東走讀人-地方培力&amp;永續旅遊平台</t>
  </si>
  <si>
    <t>SITCON</t>
  </si>
  <si>
    <t xml:space="preserve"> 門
Entry</t>
  </si>
  <si>
    <t>智能協同：輔協智能障礙者門市服務之混合實境技能訓練系統</t>
  </si>
  <si>
    <t>數位公民教育專書</t>
  </si>
  <si>
    <t>Cofacts
真的假的</t>
  </si>
  <si>
    <t>vTaiwan</t>
  </si>
  <si>
    <t>自學力 製學例 實驗教育資源整合平台</t>
  </si>
  <si>
    <t>Dev-in.tw</t>
  </si>
  <si>
    <t xml:space="preserve">民防下午茶 CD T-Time
</t>
  </si>
  <si>
    <t>數位韌性松</t>
  </si>
  <si>
    <t>nonprofit-helper</t>
  </si>
  <si>
    <t>Rep0rter - g0v 虛擬記者 - 每日 g0v 大小事資訊推播</t>
  </si>
  <si>
    <t xml:space="preserve">FlowPath｜探索學習的微光時刻
</t>
  </si>
  <si>
    <t>飲料
Drinks</t>
  </si>
  <si>
    <t>報到處</t>
  </si>
  <si>
    <t>桌子</t>
  </si>
  <si>
    <t>區塊鏈公益
FAB DAO</t>
  </si>
  <si>
    <t>Summit / ... / ...</t>
  </si>
  <si>
    <t>餐點 Food</t>
  </si>
  <si>
    <t>發表時間</t>
  </si>
  <si>
    <t>專案名稱／提案頁面</t>
  </si>
  <si>
    <t>發表者</t>
  </si>
  <si>
    <t>目前成果／投影片連結</t>
  </si>
  <si>
    <t>專案三個關鍵字</t>
  </si>
  <si>
    <t>專案徵人（專長）</t>
  </si>
  <si>
    <t>提案人聯絡方式</t>
  </si>
  <si>
    <t>專案介紹影片</t>
  </si>
  <si>
    <r>
      <rPr>
        <rFont val="Arial"/>
        <b/>
        <color rgb="FFFF9700"/>
        <sz val="17.0"/>
      </rPr>
      <t xml:space="preserve">14:00【初選入圍團隊】提案優化工作坊 流程（地點： 108 會議室）
</t>
    </r>
    <r>
      <rPr>
        <rFont val="Arial"/>
        <b val="0"/>
        <color rgb="FFFF9700"/>
        <sz val="13.0"/>
      </rPr>
      <t xml:space="preserve">每組「提案優化健檢」的時間共 </t>
    </r>
    <r>
      <rPr>
        <rFont val="Arial"/>
        <b/>
        <color rgb="FFFF9700"/>
        <sz val="13.0"/>
      </rPr>
      <t>7 分鐘</t>
    </r>
    <r>
      <rPr>
        <rFont val="Arial"/>
        <b val="0"/>
        <color rgb="FFFF9700"/>
        <sz val="13.0"/>
      </rPr>
      <t>。流程如下：
1.專案介紹：用</t>
    </r>
    <r>
      <rPr>
        <rFont val="Arial"/>
        <b/>
        <color rgb="FFFF9700"/>
        <sz val="13.0"/>
      </rPr>
      <t xml:space="preserve"> 1 分鐘</t>
    </r>
    <r>
      <rPr>
        <rFont val="Arial"/>
        <b val="0"/>
        <color rgb="FFFF9700"/>
        <sz val="13.0"/>
      </rPr>
      <t xml:space="preserve"> 的時間向其他參與者簡單介紹自己的專案
2.團隊提問：團隊可針對上述評審回饋提出想法與回覆，若對評審回饋不理解，或有新的疑問，也可於此時提出。
3.評審回覆
4.現場其他參與者回饋</t>
    </r>
  </si>
  <si>
    <t>工作坊團隊回饋紀錄共筆</t>
  </si>
  <si>
    <t>投影片連結</t>
  </si>
  <si>
    <t>頒獎&amp;大合照（15 分鐘）</t>
  </si>
  <si>
    <t>https://docs.google.com/presentation/d/1vuz1CgqKdakos6ObJyGNBTHjye3-nsT3ihbWo_XbBDE/edit?usp=sharing</t>
  </si>
  <si>
    <t>Linux Odyssey - 互動式終端機教學網站</t>
  </si>
  <si>
    <t>https://hackmd.io/@wancat/linux-odyssey-sch001</t>
  </si>
  <si>
    <t>資訊教育、Linux、程式設計</t>
  </si>
  <si>
    <t>team@linuxodyssey.xyz slack: linux-odyssey</t>
  </si>
  <si>
    <t>https://youtu.be/XzvfmUf1QP8</t>
  </si>
  <si>
    <r>
      <rPr>
        <rFont val="Arial"/>
        <color rgb="FF1155CC"/>
        <u/>
      </rPr>
      <t>鹿途巡禮 BambiGO</t>
    </r>
    <r>
      <rPr>
        <rFont val="Arial"/>
        <color rgb="FF1155CC"/>
        <u/>
      </rPr>
      <t xml:space="preserve">
</t>
    </r>
  </si>
  <si>
    <t xml:space="preserve">KEN </t>
  </si>
  <si>
    <t>https://drive.google.com/file/d/1KkqN19PvzpJcGRLP3TkPxlDbnHmVWQjB/view?usp=sharing</t>
  </si>
  <si>
    <t>徒步旅行、行人路權、遊戲化APP</t>
  </si>
  <si>
    <t>APP程式設計 、UI/UX設計、對徒步有興趣的大眾</t>
  </si>
  <si>
    <t>losangeles1156@gmail.com</t>
  </si>
  <si>
    <t>https://www.youtube.com/watch?v=T5ecvltQGa8</t>
  </si>
  <si>
    <r>
      <rPr>
        <rFont val="Arial"/>
        <color rgb="FF1155CC"/>
        <u/>
      </rPr>
      <t>民防下午茶 CD T-Time</t>
    </r>
    <r>
      <rPr>
        <rFont val="Arial"/>
        <color rgb="FF1155CC"/>
        <u/>
      </rPr>
      <t xml:space="preserve">
</t>
    </r>
  </si>
  <si>
    <t xml:space="preserve">Joey Yu </t>
  </si>
  <si>
    <t>https://www.canva.com/design/DAF5BIGUn2M/--wnCAhvESdYXBFdsAVw3w/edit?utm_content=DAF5BIGUn2M&amp;utm_campaign=designshare&amp;utm_medium=link2&amp;utm_source=sharebutton</t>
  </si>
  <si>
    <t>民防、論壇、公民參與</t>
  </si>
  <si>
    <t>設計、程式、行銷</t>
  </si>
  <si>
    <t>cs7327@apps.ntpc.edu.tw</t>
  </si>
  <si>
    <t>https://www.youtube.com/watch?v=FnSwkhTGhVY&amp;ab_channel=Yuchau-yi</t>
  </si>
  <si>
    <r>
      <rPr>
        <rFont val="Arial"/>
        <color rgb="FF1155CC"/>
        <u/>
      </rPr>
      <t>Dev-in.tw</t>
    </r>
    <r>
      <rPr>
        <rFont val="Arial"/>
        <color rgb="FF1155CC"/>
        <u/>
      </rPr>
      <t xml:space="preserve">
</t>
    </r>
  </si>
  <si>
    <t>Lazp</t>
  </si>
  <si>
    <t>https://docs.google.com/presentation/d/1V76Omsaw3OSieRiUrhCIYrpaex8m3rYG6vQYqKiXdDA/edit?usp=sharing</t>
  </si>
  <si>
    <t>子網域、個人化、開發者</t>
  </si>
  <si>
    <t>管理、行政、行銷</t>
  </si>
  <si>
    <t>haco@lazco.dev</t>
  </si>
  <si>
    <t>https://www.youtube.com/watch?v=uPm21KhOt1Q</t>
  </si>
  <si>
    <t>Hawks</t>
  </si>
  <si>
    <t>https://docs.google.com/presentation/d/1-hz-SPa5hwS7F72_QQRVa0P6ecphWIfUSEpKKN9yR8M/edit?usp=sharing</t>
  </si>
  <si>
    <t>資訊整合、每日推播、自動化流程</t>
  </si>
  <si>
    <t>語言模型 Prompt Engineer、後端熟悉串接 API 的工程師、前端 Email 排版設計師、SRE 工程師</t>
  </si>
  <si>
    <t>sean8321@gmail.com</t>
  </si>
  <si>
    <t>https://www.youtube.com/watch?v=LB61bHm7rLw&amp;t=9156s</t>
  </si>
  <si>
    <t>齊一／Hsuan</t>
  </si>
  <si>
    <t>https://www.canva.com/design/DAF4Y3ht7Ug/G-uDkCp81a044SnUybywwg/view</t>
  </si>
  <si>
    <t>行銷、企劃、行政
以及所有關心特殊選才和升學機制的高中生、大學生</t>
  </si>
  <si>
    <t>chiyi4869@gmail.com</t>
  </si>
  <si>
    <t>https://www.youtube.com/watch?v=vKpJbmpsUFU</t>
  </si>
  <si>
    <t>Sumah</t>
  </si>
  <si>
    <t>https://drive.google.com/file/d/1sICLBbvucZ7hrykV3pYno5FMfnjJ8gxk/view?usp=sharing</t>
  </si>
  <si>
    <t>旅遊APP、永續旅遊、地方培力</t>
  </si>
  <si>
    <t>設計、技術前後端開發、</t>
  </si>
  <si>
    <t>callnowking@gmail.com</t>
  </si>
  <si>
    <t>https://www.youtube.com/watch?v=vy1k3zOVQxo&amp;ab_channel=Sumah</t>
  </si>
  <si>
    <t>中場休息（15 分鐘）</t>
  </si>
  <si>
    <r>
      <rPr>
        <rFont val="Arial"/>
        <color rgb="FF1155CC"/>
        <u/>
      </rPr>
      <t>BrainMate</t>
    </r>
    <r>
      <rPr>
        <rFont val="Arial"/>
        <color rgb="FF1155CC"/>
        <u/>
      </rPr>
      <t xml:space="preserve">
</t>
    </r>
  </si>
  <si>
    <t>蔣天誠</t>
  </si>
  <si>
    <t>https://drive.google.com/file/d/1WsAPfM2PQ4y9AxBUHjzH_A9_r0VIFIJB/view?usp=sharing</t>
  </si>
  <si>
    <t>友礙無礙、教育、特殊培育</t>
  </si>
  <si>
    <t>行銷、品牌規劃、特殊教育領域人士</t>
  </si>
  <si>
    <t>hapopo35@gmail.com ＆ 51y102c1110834007@gmail.com</t>
  </si>
  <si>
    <t>https://youtu.be/KaRfR8xhFlE?si=uZ7M0OrPsYk3E9fi</t>
  </si>
  <si>
    <t>直覺物理（intuiPhysics）</t>
  </si>
  <si>
    <t>Denken</t>
  </si>
  <si>
    <t>https://hackmd.io/@denkeni/intuiPhysics</t>
  </si>
  <si>
    <t>物理直覺、物理動畫、物理與程式教育</t>
  </si>
  <si>
    <t>中學物理教師、對物理教育有興趣的 SwiftUI 或 Web 前端工程師</t>
  </si>
  <si>
    <t>g0v Slack @denkeni or denkenie@gmail.com</t>
  </si>
  <si>
    <t>https://youtube.com/shorts/yGBGf5gNhPE</t>
  </si>
  <si>
    <t>Paul</t>
  </si>
  <si>
    <r>
      <rPr>
        <rFont val="arial, sans, sans-serif"/>
        <color rgb="FF1155CC"/>
        <u/>
      </rPr>
      <t>提案：</t>
    </r>
    <r>
      <rPr>
        <rFont val="arial, sans, sans-serif"/>
        <color rgb="FF1155CC"/>
        <u/>
      </rPr>
      <t xml:space="preserve">https://g0v.hackmd.io/@nonprofit-helper/nonprofit-helper-home
</t>
    </r>
    <r>
      <rPr>
        <rFont val="arial, sans, sans-serif"/>
        <color rgb="FF1155CC"/>
        <u/>
      </rPr>
      <t>簡報：</t>
    </r>
    <r>
      <rPr>
        <rFont val="arial, sans, sans-serif"/>
        <color rgb="FF1155CC"/>
        <u/>
      </rPr>
      <t>https://gamma.app/public/nonprofit-helper-th0bo1ekoz76b1v</t>
    </r>
  </si>
  <si>
    <t>公益組織、賦能、行政作業</t>
  </si>
  <si>
    <t>後端 
或 
想練習刻前端的人</t>
  </si>
  <si>
    <r>
      <rPr>
        <rFont val="arial, sans, sans-serif"/>
        <color rgb="FF1155CC"/>
        <u/>
      </rPr>
      <t>g0v slack @paulpengtw</t>
    </r>
    <r>
      <rPr>
        <rFont val="arial, sans, sans-serif"/>
      </rPr>
      <t xml:space="preserve"> or
</t>
    </r>
    <r>
      <rPr>
        <rFont val="arial, sans, sans-serif"/>
        <color rgb="FF1155CC"/>
        <u/>
      </rPr>
      <t>fb.com/paulpengtw</t>
    </r>
    <r>
      <rPr>
        <rFont val="arial, sans, sans-serif"/>
      </rPr>
      <t xml:space="preserve"> or
</t>
    </r>
    <r>
      <rPr>
        <rFont val="arial, sans, sans-serif"/>
        <color rgb="FF1155CC"/>
        <u/>
      </rPr>
      <t>nonprofit-helper@googlegroups.com</t>
    </r>
  </si>
  <si>
    <t>https://www.youtube.com/watch?v=dQw4w9WgXcQ</t>
  </si>
  <si>
    <t>黃浚齊/JUN</t>
  </si>
  <si>
    <t>https://www.canva.com/design/DAF5CJqu7Ok/Yv32TjB7FLJfhPtsk6eIaA/view</t>
  </si>
  <si>
    <t>實驗教育申請系統化、學長姐經驗談、看見更多教育選擇</t>
  </si>
  <si>
    <t>1.技術開發領域人才、2.品牌內部人員：企劃部、社群行銷與美術設計部、影音部</t>
  </si>
  <si>
    <t>junchi326@gmail.com、0912422825</t>
  </si>
  <si>
    <t>https://www.ability-of-self-studying-com.tw</t>
  </si>
  <si>
    <r>
      <rPr>
        <rFont val="Arial"/>
        <color rgb="FF1155CC"/>
        <u/>
      </rPr>
      <t>FlowPath｜探索學習的微光時刻</t>
    </r>
    <r>
      <rPr>
        <rFont val="Arial"/>
        <color rgb="FF1155CC"/>
        <u/>
      </rPr>
      <t xml:space="preserve">
</t>
    </r>
  </si>
  <si>
    <t>短尾袋鼠/ 中 / 小圓</t>
  </si>
  <si>
    <t>https://www.canva.com/design/DAF45zxnHVs/65r2vlaiVbXOsK5uzx0qrg/view?utm_content=DAF45zxnHVs&amp;utm_campaign=designshare&amp;utm_medium=link&amp;utm_source=editor</t>
  </si>
  <si>
    <t>個人化學習地圖、夥伴、紀錄與探索</t>
  </si>
  <si>
    <t>網頁設計、UI/UX</t>
  </si>
  <si>
    <t>flowpath1971@gmail.com</t>
  </si>
  <si>
    <t>https://www.youtube.com/watch?v=oQRi9ICzvQg&amp;feature=youtu.be</t>
  </si>
  <si>
    <t>決選日 &amp; 專業諮詢申請 說明</t>
  </si>
  <si>
    <t>團隊交流及 Q&amp;A 時間</t>
  </si>
  <si>
    <t>工作坊結束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</si>
</sst>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62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b/>
      <u/>
      <sz val="10.0"/>
      <color rgb="FF0000FF"/>
    </font>
    <font>
      <b/>
      <name val="Arial"/>
    </font>
    <font>
      <color rgb="FFFF9900"/>
    </font>
    <font>
      <color rgb="FF000000"/>
      <name val="Arial"/>
    </font>
    <font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sz val="10.0"/>
      <color rgb="FF000000"/>
    </font>
    <font/>
    <font>
      <u/>
      <color rgb="FF0000FF"/>
    </font>
    <font>
      <u/>
      <color rgb="FF0000FF"/>
    </font>
    <font>
      <sz val="10.0"/>
    </font>
    <font>
      <u/>
      <color rgb="FF0000FF"/>
      <name val="Arial"/>
    </font>
    <font>
      <b/>
      <sz val="10.0"/>
      <color rgb="FF000000"/>
    </font>
    <font>
      <sz val="12.0"/>
      <color rgb="FF212529"/>
      <name val="Roboto"/>
    </font>
    <font>
      <color rgb="FF1155CC"/>
    </font>
    <font>
      <b/>
      <sz val="10.0"/>
      <color rgb="FF0000FF"/>
    </font>
    <font>
      <sz val="9.0"/>
      <color rgb="FF008000"/>
      <name val="&quot;Google Sans Mono&quot;"/>
    </font>
    <font>
      <u/>
      <color rgb="FF0000FF"/>
    </font>
    <font>
      <u/>
      <sz val="10.0"/>
      <color rgb="FF0000FF"/>
    </font>
    <font>
      <u/>
      <color rgb="FF0000FF"/>
      <name val="Arial"/>
    </font>
    <font>
      <u/>
      <sz val="11.0"/>
      <color rgb="FF0000FF"/>
    </font>
    <font>
      <u/>
      <sz val="10.0"/>
      <color rgb="FF0000FF"/>
    </font>
    <font>
      <u/>
      <color rgb="FF0000FF"/>
    </font>
    <font>
      <u/>
      <color rgb="FF000000"/>
    </font>
    <font>
      <i/>
      <u/>
      <color rgb="FF1155CC"/>
      <name val="Arial"/>
    </font>
    <font>
      <color rgb="FF000000"/>
      <name val="Oxygen"/>
    </font>
    <font>
      <u/>
      <color rgb="FF0000FF"/>
    </font>
    <font>
      <u/>
      <color rgb="FF1155CC"/>
    </font>
    <font>
      <u/>
      <sz val="12.0"/>
      <color rgb="FF337AB7"/>
      <name val="-apple-system"/>
    </font>
    <font>
      <sz val="18.0"/>
    </font>
    <font>
      <sz val="14.0"/>
    </font>
    <font>
      <sz val="12.0"/>
    </font>
    <font>
      <u/>
      <color rgb="FF0000FF"/>
    </font>
    <font>
      <sz val="6.0"/>
    </font>
    <font>
      <b/>
      <sz val="17.0"/>
      <color rgb="FFFF9700"/>
      <name val="Arial"/>
    </font>
    <font>
      <u/>
      <sz val="12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Roboto"/>
    </font>
    <font>
      <u/>
      <color rgb="FF1155CC"/>
      <name val="Arial"/>
    </font>
    <font>
      <u/>
      <color rgb="FF0000FF"/>
      <name val="Arial"/>
    </font>
    <font>
      <u/>
      <color rgb="FF1155CC"/>
      <name val="Roboto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sz val="10.0"/>
      <color rgb="FF444444"/>
      <name val="Roboto"/>
    </font>
    <font>
      <u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7" numFmtId="0" xfId="0" applyAlignment="1" applyFont="1">
      <alignment readingOrder="0" shrinkToFit="0" vertical="center" wrapText="1"/>
    </xf>
    <xf borderId="1" fillId="4" fontId="7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9" numFmtId="20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3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5" fontId="9" numFmtId="0" xfId="0" applyAlignment="1" applyFill="1" applyFont="1">
      <alignment horizontal="center" shrinkToFit="0" vertical="center" wrapText="1"/>
    </xf>
    <xf borderId="0" fillId="6" fontId="8" numFmtId="0" xfId="0" applyAlignment="1" applyFill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13" numFmtId="0" xfId="0" applyAlignment="1" applyFont="1">
      <alignment horizontal="right" readingOrder="0" shrinkToFit="0" vertical="center" wrapText="1"/>
    </xf>
    <xf borderId="0" fillId="0" fontId="9" numFmtId="20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3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6" fontId="9" numFmtId="0" xfId="0" applyAlignment="1" applyFont="1">
      <alignment horizontal="center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5" fontId="19" numFmtId="0" xfId="0" applyAlignment="1" applyFont="1">
      <alignment horizontal="center" readingOrder="0" shrinkToFit="0" vertical="center" wrapText="1"/>
    </xf>
    <xf borderId="0" fillId="6" fontId="20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center" readingOrder="0" shrinkToFit="0" vertical="center" wrapText="1"/>
    </xf>
    <xf borderId="0" fillId="6" fontId="0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5" fontId="14" numFmtId="0" xfId="0" applyAlignment="1" applyFont="1">
      <alignment readingOrder="0" shrinkToFit="0" vertical="center" wrapText="1"/>
    </xf>
    <xf borderId="0" fillId="0" fontId="14" numFmtId="20" xfId="0" applyAlignment="1" applyFont="1" applyNumberFormat="1">
      <alignment horizontal="center" readingOrder="0" shrinkToFit="0" vertical="center" wrapText="1"/>
    </xf>
    <xf quotePrefix="1"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wrapText="1"/>
    </xf>
    <xf borderId="1" fillId="4" fontId="2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6" fontId="23" numFmtId="0" xfId="0" applyAlignment="1" applyFont="1">
      <alignment shrinkToFit="0" wrapText="1"/>
    </xf>
    <xf borderId="0" fillId="0" fontId="14" numFmtId="0" xfId="0" applyAlignment="1" applyFont="1">
      <alignment horizontal="right" readingOrder="0" shrinkToFit="0" vertical="center" wrapText="1"/>
    </xf>
    <xf borderId="0" fillId="0" fontId="14" numFmtId="0" xfId="0" applyAlignment="1" applyFont="1">
      <alignment readingOrder="0" shrinkToFit="0" wrapText="1"/>
    </xf>
    <xf borderId="0" fillId="0" fontId="2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17" numFmtId="20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left" readingOrder="0" shrinkToFit="0" wrapText="1"/>
    </xf>
    <xf borderId="0" fillId="7" fontId="14" numFmtId="0" xfId="0" applyAlignment="1" applyFill="1" applyFont="1">
      <alignment shrinkToFit="0" vertical="center" wrapText="1"/>
    </xf>
    <xf borderId="0" fillId="7" fontId="17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horizontal="center" shrinkToFit="0" vertical="center" wrapText="1"/>
    </xf>
    <xf quotePrefix="1" borderId="0" fillId="7" fontId="17" numFmtId="0" xfId="0" applyAlignment="1" applyFont="1">
      <alignment horizontal="center" readingOrder="0" shrinkToFit="0" vertical="center" wrapText="1"/>
    </xf>
    <xf borderId="0" fillId="7" fontId="17" numFmtId="0" xfId="0" applyAlignment="1" applyFont="1">
      <alignment horizontal="center" readingOrder="0" shrinkToFit="0" vertical="center" wrapText="1"/>
    </xf>
    <xf borderId="0" fillId="7" fontId="14" numFmtId="0" xfId="0" applyAlignment="1" applyFont="1">
      <alignment readingOrder="0" shrinkToFit="0" vertical="center" wrapText="1"/>
    </xf>
    <xf borderId="0" fillId="3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6" fontId="23" numFmtId="0" xfId="0" applyAlignment="1" applyFont="1">
      <alignment shrinkToFit="0" vertical="center" wrapText="1"/>
    </xf>
    <xf borderId="0" fillId="0" fontId="9" numFmtId="20" xfId="0" applyAlignment="1" applyFont="1" applyNumberFormat="1">
      <alignment horizontal="center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6" fontId="28" numFmtId="0" xfId="0" applyAlignment="1" applyFont="1">
      <alignment horizontal="left" readingOrder="0" shrinkToFit="0" wrapText="1"/>
    </xf>
    <xf borderId="0" fillId="0" fontId="9" numFmtId="20" xfId="0" applyAlignment="1" applyFont="1" applyNumberFormat="1">
      <alignment horizontal="center" shrinkToFit="0" wrapText="1"/>
    </xf>
    <xf borderId="0" fillId="0" fontId="29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30" numFmtId="0" xfId="0" applyAlignment="1" applyFont="1">
      <alignment horizontal="center" readingOrder="0" shrinkToFit="0" wrapText="1"/>
    </xf>
    <xf borderId="0" fillId="0" fontId="31" numFmtId="0" xfId="0" applyAlignment="1" applyFont="1">
      <alignment shrinkToFit="0" vertical="center" wrapText="1"/>
    </xf>
    <xf borderId="0" fillId="0" fontId="9" numFmtId="164" xfId="0" applyAlignment="1" applyFont="1" applyNumberFormat="1">
      <alignment horizontal="center" shrinkToFit="0" wrapText="1"/>
    </xf>
    <xf borderId="0" fillId="0" fontId="32" numFmtId="0" xfId="0" applyAlignment="1" applyFont="1">
      <alignment horizontal="left" readingOrder="0" shrinkToFit="0" vertical="center" wrapText="1"/>
    </xf>
    <xf borderId="0" fillId="0" fontId="33" numFmtId="0" xfId="0" applyAlignment="1" applyFont="1">
      <alignment readingOrder="0" shrinkToFit="0" wrapText="1"/>
    </xf>
    <xf borderId="0" fillId="0" fontId="17" numFmtId="0" xfId="0" applyAlignment="1" applyFont="1">
      <alignment horizontal="left" readingOrder="0" shrinkToFit="0" wrapText="1"/>
    </xf>
    <xf borderId="0" fillId="0" fontId="34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readingOrder="0" shrinkToFit="0" wrapText="1"/>
    </xf>
    <xf borderId="0" fillId="6" fontId="35" numFmtId="0" xfId="0" applyAlignment="1" applyFont="1">
      <alignment readingOrder="0" shrinkToFit="0" wrapText="1"/>
    </xf>
    <xf borderId="0" fillId="6" fontId="17" numFmtId="0" xfId="0" applyAlignment="1" applyFont="1">
      <alignment horizontal="left" readingOrder="0" shrinkToFit="0" wrapText="1"/>
    </xf>
    <xf borderId="0" fillId="8" fontId="14" numFmtId="0" xfId="0" applyAlignment="1" applyFill="1" applyFont="1">
      <alignment shrinkToFit="0" vertical="center" wrapText="1"/>
    </xf>
    <xf borderId="0" fillId="8" fontId="14" numFmtId="0" xfId="0" applyAlignment="1" applyFont="1">
      <alignment horizontal="center" shrinkToFit="0" vertical="center" wrapText="1"/>
    </xf>
    <xf borderId="0" fillId="8" fontId="14" numFmtId="0" xfId="0" applyAlignment="1" applyFont="1">
      <alignment horizontal="center" readingOrder="0" shrinkToFit="0" vertical="center" wrapText="1"/>
    </xf>
    <xf borderId="0" fillId="8" fontId="14" numFmtId="0" xfId="0" applyAlignment="1" applyFont="1">
      <alignment readingOrder="0" shrinkToFit="0" vertical="center" wrapText="1"/>
    </xf>
    <xf borderId="0" fillId="9" fontId="36" numFmtId="0" xfId="0" applyAlignment="1" applyFill="1" applyFont="1">
      <alignment horizontal="center" readingOrder="0" shrinkToFit="0" vertical="bottom" wrapText="1"/>
    </xf>
    <xf borderId="0" fillId="9" fontId="36" numFmtId="0" xfId="0" applyAlignment="1" applyFont="1">
      <alignment horizontal="center" readingOrder="0" shrinkToFit="0" wrapText="1"/>
    </xf>
    <xf borderId="2" fillId="0" fontId="37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shrinkToFit="0" wrapText="1"/>
    </xf>
    <xf borderId="2" fillId="0" fontId="14" numFmtId="0" xfId="0" applyAlignment="1" applyBorder="1" applyFont="1">
      <alignment horizontal="center" shrinkToFit="0" vertical="center" wrapText="1"/>
    </xf>
    <xf borderId="2" fillId="0" fontId="37" numFmtId="0" xfId="0" applyAlignment="1" applyBorder="1" applyFont="1">
      <alignment horizontal="center" readingOrder="0" shrinkToFit="0" vertical="center" wrapText="1"/>
    </xf>
    <xf borderId="0" fillId="10" fontId="37" numFmtId="0" xfId="0" applyAlignment="1" applyFill="1" applyFont="1">
      <alignment horizontal="center" readingOrder="0" shrinkToFit="0" vertical="center" wrapText="1"/>
    </xf>
    <xf borderId="0" fillId="0" fontId="37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readingOrder="0" shrinkToFit="0" vertical="center" wrapText="1"/>
    </xf>
    <xf borderId="3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38" numFmtId="0" xfId="0" applyAlignment="1" applyBorder="1" applyFont="1">
      <alignment horizontal="center" shrinkToFit="0" vertical="center" wrapText="1"/>
    </xf>
    <xf borderId="0" fillId="11" fontId="14" numFmtId="0" xfId="0" applyAlignment="1" applyFill="1" applyFont="1">
      <alignment readingOrder="0" shrinkToFit="0" wrapText="1"/>
    </xf>
    <xf borderId="1" fillId="11" fontId="14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5" fillId="11" fontId="14" numFmtId="0" xfId="0" applyAlignment="1" applyBorder="1" applyFont="1">
      <alignment horizontal="center" readingOrder="0" shrinkToFit="0" vertical="center" wrapText="1"/>
    </xf>
    <xf borderId="1" fillId="1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shrinkToFit="0" wrapText="1"/>
    </xf>
    <xf borderId="1" fillId="0" fontId="14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shrinkToFit="0" wrapText="1"/>
    </xf>
    <xf borderId="1" fillId="0" fontId="39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shrinkToFit="0" wrapText="1"/>
    </xf>
    <xf borderId="1" fillId="0" fontId="40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0" fillId="6" fontId="8" numFmtId="0" xfId="0" applyAlignment="1" applyFont="1">
      <alignment horizontal="center" readingOrder="0" shrinkToFit="0" wrapText="1"/>
    </xf>
    <xf borderId="8" fillId="0" fontId="14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shrinkToFit="0" wrapText="1"/>
    </xf>
    <xf borderId="0" fillId="0" fontId="38" numFmtId="0" xfId="0" applyAlignment="1" applyFont="1">
      <alignment horizontal="center" shrinkToFit="0" vertical="center" wrapText="1"/>
    </xf>
    <xf borderId="1" fillId="12" fontId="14" numFmtId="0" xfId="0" applyAlignment="1" applyBorder="1" applyFill="1" applyFont="1">
      <alignment horizontal="center" readingOrder="0" shrinkToFit="0" vertical="center" wrapText="1"/>
    </xf>
    <xf borderId="9" fillId="12" fontId="14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shrinkToFit="0" wrapText="1"/>
    </xf>
    <xf borderId="11" fillId="0" fontId="14" numFmtId="0" xfId="0" applyAlignment="1" applyBorder="1" applyFont="1">
      <alignment shrinkToFit="0" wrapText="1"/>
    </xf>
    <xf borderId="9" fillId="11" fontId="1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0"/>
    </xf>
    <xf borderId="0" fillId="4" fontId="41" numFmtId="0" xfId="0" applyAlignment="1" applyFont="1">
      <alignment shrinkToFit="0" wrapText="1"/>
    </xf>
    <xf borderId="0" fillId="0" fontId="42" numFmtId="0" xfId="0" applyAlignment="1" applyFont="1">
      <alignment readingOrder="0" shrinkToFit="0" wrapText="1"/>
    </xf>
    <xf borderId="0" fillId="0" fontId="6" numFmtId="0" xfId="0" applyAlignment="1" applyFont="1">
      <alignment horizontal="center" shrinkToFit="0" wrapText="0"/>
    </xf>
    <xf borderId="0" fillId="5" fontId="9" numFmtId="0" xfId="0" applyAlignment="1" applyFont="1">
      <alignment shrinkToFit="0" wrapText="1"/>
    </xf>
    <xf borderId="0" fillId="5" fontId="9" numFmtId="20" xfId="0" applyAlignment="1" applyFont="1" applyNumberFormat="1">
      <alignment horizontal="center" shrinkToFit="0" wrapText="1"/>
    </xf>
    <xf borderId="0" fillId="5" fontId="9" numFmtId="0" xfId="0" applyAlignment="1" applyFont="1">
      <alignment horizontal="left" shrinkToFit="0" wrapText="1"/>
    </xf>
    <xf borderId="0" fillId="5" fontId="9" numFmtId="0" xfId="0" applyAlignment="1" applyFont="1">
      <alignment shrinkToFit="0" vertical="bottom" wrapText="1"/>
    </xf>
    <xf borderId="0" fillId="5" fontId="43" numFmtId="0" xfId="0" applyAlignment="1" applyFont="1">
      <alignment readingOrder="0" shrinkToFit="0" wrapText="1"/>
    </xf>
    <xf borderId="0" fillId="5" fontId="9" numFmtId="0" xfId="0" applyAlignment="1" applyFont="1">
      <alignment horizontal="left" shrinkToFit="0" vertical="bottom" wrapText="1"/>
    </xf>
    <xf borderId="0" fillId="5" fontId="9" numFmtId="0" xfId="0" applyAlignment="1" applyFont="1">
      <alignment shrinkToFit="0" wrapText="1"/>
    </xf>
    <xf borderId="0" fillId="5" fontId="9" numFmtId="0" xfId="0" applyAlignment="1" applyFont="1">
      <alignment shrinkToFit="0" vertical="bottom" wrapText="1"/>
    </xf>
    <xf borderId="0" fillId="0" fontId="9" numFmtId="0" xfId="0" applyAlignment="1" applyFont="1">
      <alignment horizontal="right" shrinkToFit="0" wrapText="1"/>
    </xf>
    <xf borderId="0" fillId="0" fontId="9" numFmtId="20" xfId="0" applyAlignment="1" applyFont="1" applyNumberFormat="1">
      <alignment horizontal="center" shrinkToFit="0" wrapText="1"/>
    </xf>
    <xf borderId="0" fillId="6" fontId="44" numFmtId="0" xfId="0" applyAlignment="1" applyFont="1">
      <alignment horizontal="left"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45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6" fontId="46" numFmtId="0" xfId="0" applyAlignment="1" applyFont="1">
      <alignment horizontal="left" readingOrder="0" shrinkToFit="0" vertical="bottom" wrapText="0"/>
    </xf>
    <xf borderId="0" fillId="6" fontId="47" numFmtId="0" xfId="0" applyAlignment="1" applyFont="1">
      <alignment horizontal="left" shrinkToFit="0" vertical="bottom" wrapText="1"/>
    </xf>
    <xf borderId="0" fillId="0" fontId="48" numFmtId="0" xfId="0" applyAlignment="1" applyFont="1">
      <alignment readingOrder="0" shrinkToFit="0" wrapText="1"/>
    </xf>
    <xf borderId="0" fillId="6" fontId="49" numFmtId="0" xfId="0" applyAlignment="1" applyFont="1">
      <alignment horizontal="left" shrinkToFit="0" vertical="bottom" wrapText="0"/>
    </xf>
    <xf borderId="0" fillId="0" fontId="50" numFmtId="0" xfId="0" applyAlignment="1" applyFont="1">
      <alignment readingOrder="0" shrinkToFit="0" vertical="bottom" wrapText="1"/>
    </xf>
    <xf borderId="0" fillId="6" fontId="51" numFmtId="0" xfId="0" applyAlignment="1" applyFont="1">
      <alignment readingOrder="0" shrinkToFit="0" wrapText="1"/>
    </xf>
    <xf borderId="0" fillId="6" fontId="52" numFmtId="0" xfId="0" applyAlignment="1" applyFont="1">
      <alignment horizontal="left" shrinkToFit="0" wrapText="0"/>
    </xf>
    <xf borderId="0" fillId="0" fontId="53" numFmtId="0" xfId="0" applyAlignment="1" applyFont="1">
      <alignment readingOrder="0" shrinkToFit="0" vertical="bottom" wrapText="1"/>
    </xf>
    <xf borderId="0" fillId="6" fontId="54" numFmtId="0" xfId="0" applyAlignment="1" applyFont="1">
      <alignment horizontal="left" shrinkToFit="0" vertical="bottom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left" shrinkToFit="0" wrapText="1"/>
    </xf>
    <xf borderId="0" fillId="6" fontId="55" numFmtId="0" xfId="0" applyAlignment="1" applyFont="1">
      <alignment horizontal="left" readingOrder="0" shrinkToFit="0" wrapText="0"/>
    </xf>
    <xf borderId="0" fillId="6" fontId="5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57" numFmtId="0" xfId="0" applyAlignment="1" applyFont="1">
      <alignment horizontal="left" readingOrder="0" shrinkToFit="0" vertical="center" wrapText="1"/>
    </xf>
    <xf borderId="0" fillId="0" fontId="58" numFmtId="0" xfId="0" applyAlignment="1" applyFont="1">
      <alignment horizontal="center" readingOrder="0" shrinkToFit="0" vertical="center" wrapText="1"/>
    </xf>
    <xf borderId="0" fillId="0" fontId="59" numFmtId="0" xfId="0" applyAlignment="1" applyFont="1">
      <alignment horizontal="left" readingOrder="0" shrinkToFit="0" vertical="center" wrapText="1"/>
    </xf>
    <xf borderId="0" fillId="6" fontId="60" numFmtId="0" xfId="0" applyAlignment="1" applyFont="1">
      <alignment horizontal="left" readingOrder="0" shrinkToFit="0" wrapText="1"/>
    </xf>
    <xf borderId="0" fillId="0" fontId="61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8" fontId="9" numFmtId="0" xfId="0" applyAlignment="1" applyFont="1">
      <alignment shrinkToFit="0" wrapText="1"/>
    </xf>
    <xf borderId="0" fillId="8" fontId="9" numFmtId="0" xfId="0" applyAlignment="1" applyFont="1">
      <alignment horizontal="left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42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md.io/@Pno233SAS8G5UfL5OvSRmA/SkWxaiMS_T" TargetMode="External"/><Relationship Id="rId42" Type="http://schemas.openxmlformats.org/officeDocument/2006/relationships/hyperlink" Target="https://hackmd.io/@ATM_R5IeQ8aBci8yu46Jjw/B1ZTrOL_p" TargetMode="External"/><Relationship Id="rId41" Type="http://schemas.openxmlformats.org/officeDocument/2006/relationships/hyperlink" Target="https://docs.google.com/presentation/d/1Ehztx8BlTJxaKuWd6tSKEnrdJI0eW6gmb3Di7Ohscc0/edit?usp=sharing" TargetMode="External"/><Relationship Id="rId44" Type="http://schemas.openxmlformats.org/officeDocument/2006/relationships/hyperlink" Target="https://docs.google.com/presentation/d/1akiVArknNCENGLJM0rpsFGGa7rCJWvuAAvfEU5B76Jk/edit?usp=sharing" TargetMode="External"/><Relationship Id="rId43" Type="http://schemas.openxmlformats.org/officeDocument/2006/relationships/hyperlink" Target="https://www.canva.com/design/DAF5BIGUn2M/--wnCAhvESdYXBFdsAVw3w/edit?ui=eyJHIjp7fX0" TargetMode="External"/><Relationship Id="rId46" Type="http://schemas.openxmlformats.org/officeDocument/2006/relationships/hyperlink" Target="https://g0v.hackmd.io/@summit2024/book/https%3A%2F%2Fg0v.hackmd.io%2FdttYgGq1SmqCCp4ZntffZw" TargetMode="External"/><Relationship Id="rId45" Type="http://schemas.openxmlformats.org/officeDocument/2006/relationships/hyperlink" Target="https://frontend.grapycal.org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g0v.hackmd.io/@jothon/BJ6ymwPfT" TargetMode="External"/><Relationship Id="rId3" Type="http://schemas.openxmlformats.org/officeDocument/2006/relationships/hyperlink" Target="https://g0v.hackmd.io/@flyo/flyism" TargetMode="External"/><Relationship Id="rId4" Type="http://schemas.openxmlformats.org/officeDocument/2006/relationships/hyperlink" Target="https://k.flyism.org/" TargetMode="External"/><Relationship Id="rId9" Type="http://schemas.openxmlformats.org/officeDocument/2006/relationships/hyperlink" Target="https://hackmd.io/@wancat/linux-odyssey-20240106" TargetMode="External"/><Relationship Id="rId48" Type="http://schemas.openxmlformats.org/officeDocument/2006/relationships/hyperlink" Target="https://g0v.hackmd.io/@Ted-Lu/SyyKTx4_a" TargetMode="External"/><Relationship Id="rId47" Type="http://schemas.openxmlformats.org/officeDocument/2006/relationships/hyperlink" Target="https://docs.google.com/presentation/d/1ti_OnAg_lOjtJ83dOx5MFExqCP-4BplWtkk8CE6EdfI/edit?usp=sharing" TargetMode="External"/><Relationship Id="rId49" Type="http://schemas.openxmlformats.org/officeDocument/2006/relationships/hyperlink" Target="https://cofacts.tw/hack" TargetMode="External"/><Relationship Id="rId5" Type="http://schemas.openxmlformats.org/officeDocument/2006/relationships/hyperlink" Target="https://youtu.be/NfnmWEhiBtg" TargetMode="External"/><Relationship Id="rId6" Type="http://schemas.openxmlformats.org/officeDocument/2006/relationships/hyperlink" Target="https://youtu.be/NfnmWEhiBtg" TargetMode="External"/><Relationship Id="rId7" Type="http://schemas.openxmlformats.org/officeDocument/2006/relationships/hyperlink" Target="https://sch001.g0v.tw/means/" TargetMode="External"/><Relationship Id="rId8" Type="http://schemas.openxmlformats.org/officeDocument/2006/relationships/hyperlink" Target="https://g0v.hackmd.io/@wancat/linux-odyssey" TargetMode="External"/><Relationship Id="rId31" Type="http://schemas.openxmlformats.org/officeDocument/2006/relationships/hyperlink" Target="https://hackmd.io/@greensofa/GitcoinGrantsWalkthrough?view" TargetMode="External"/><Relationship Id="rId30" Type="http://schemas.openxmlformats.org/officeDocument/2006/relationships/hyperlink" Target="https://hackmd.io/J9uXJgrHTcuYDqO8nbkQxQ" TargetMode="External"/><Relationship Id="rId33" Type="http://schemas.openxmlformats.org/officeDocument/2006/relationships/hyperlink" Target="https://gamma.app/public/-k2mshk2q40b53ck" TargetMode="External"/><Relationship Id="rId32" Type="http://schemas.openxmlformats.org/officeDocument/2006/relationships/hyperlink" Target="https://g0v.hackmd.io/@paulpengtw/DigiResiTh0n-home/https%3A%2F%2Fg0v.hackmd.io%2F%40paulpengtw%2FDigiResiTh0n-home" TargetMode="External"/><Relationship Id="rId35" Type="http://schemas.openxmlformats.org/officeDocument/2006/relationships/hyperlink" Target="https://g0v.hackmd.io/@paulpengtw/EASY-SLACK" TargetMode="External"/><Relationship Id="rId34" Type="http://schemas.openxmlformats.org/officeDocument/2006/relationships/hyperlink" Target="https://g0v.hackmd.io/@paulpengtw/DigiResiTh0n-home/%2FmKkOC9PLSXi0GZg7uGm1xA" TargetMode="External"/><Relationship Id="rId37" Type="http://schemas.openxmlformats.org/officeDocument/2006/relationships/hyperlink" Target="https://docs.google.com/presentation/d/1j_tyHc_fpaFLkyPJCylNV_h2eevYU8I4rVfNdYZBFHs/edit" TargetMode="External"/><Relationship Id="rId36" Type="http://schemas.openxmlformats.org/officeDocument/2006/relationships/hyperlink" Target="https://g0v.hackmd.io/@jothon/HJxLTdOLw6" TargetMode="External"/><Relationship Id="rId39" Type="http://schemas.openxmlformats.org/officeDocument/2006/relationships/hyperlink" Target="https://www.google.com/url?q=https://docs.google.com/presentation/d/1fO5RLj8tOezYEroLziuuGGLznYRfvtPSX30F52zFugg/edit?usp%3Dsharing&amp;sa=D&amp;source=editors&amp;ust=1711967927068503&amp;usg=AOvVaw0uI_L8JinR8w6NWcLc4aA4" TargetMode="External"/><Relationship Id="rId38" Type="http://schemas.openxmlformats.org/officeDocument/2006/relationships/hyperlink" Target="https://hackmd.io/@greensofa/GitcoinGrantsWalkthrough?view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bit.ly/0123g0vsurvey" TargetMode="External"/><Relationship Id="rId20" Type="http://schemas.openxmlformats.org/officeDocument/2006/relationships/hyperlink" Target="https://g0v.hackmd.io/@summit2024/book" TargetMode="External"/><Relationship Id="rId63" Type="http://schemas.openxmlformats.org/officeDocument/2006/relationships/vmlDrawing" Target="../drawings/vmlDrawing1.vml"/><Relationship Id="rId22" Type="http://schemas.openxmlformats.org/officeDocument/2006/relationships/hyperlink" Target="https://forms.gle/JKe7NYtg9VMuuS6PA" TargetMode="External"/><Relationship Id="rId21" Type="http://schemas.openxmlformats.org/officeDocument/2006/relationships/hyperlink" Target="https://docs.google.com/presentation/d/1ti_OnAg_lOjtJ83dOx5MFExqCP-4BplWtkk8CE6EdfI/edit" TargetMode="External"/><Relationship Id="rId24" Type="http://schemas.openxmlformats.org/officeDocument/2006/relationships/hyperlink" Target="https://docs.google.com/presentation/d/1xZm9I6Erd7QN3ZWl1Qo_iGQxNPShah2X/edit?usp=sharing&amp;ouid=111636375346861552084&amp;rtpof=true&amp;sd=true" TargetMode="External"/><Relationship Id="rId23" Type="http://schemas.openxmlformats.org/officeDocument/2006/relationships/hyperlink" Target="https://www.youtube.com/watch?v=9qR-SyWal04" TargetMode="External"/><Relationship Id="rId60" Type="http://schemas.openxmlformats.org/officeDocument/2006/relationships/hyperlink" Target="https://g0v.hackmd.io/@paulpengtw/EASY-SLACK" TargetMode="External"/><Relationship Id="rId26" Type="http://schemas.openxmlformats.org/officeDocument/2006/relationships/hyperlink" Target="https://docs.google.com/presentation/d/1Ehztx8BlTJxaKuWd6tSKEnrdJI0eW6gmb3Di7Ohscc0/edit?usp=sharing" TargetMode="External"/><Relationship Id="rId25" Type="http://schemas.openxmlformats.org/officeDocument/2006/relationships/hyperlink" Target="https://g0v.hackmd.io/@Pno233SAS8G5UfL5OvSRmA/SkWxaiMS_T" TargetMode="External"/><Relationship Id="rId28" Type="http://schemas.openxmlformats.org/officeDocument/2006/relationships/hyperlink" Target="https://youtu.be/Kj_2cx2xGP8" TargetMode="External"/><Relationship Id="rId27" Type="http://schemas.openxmlformats.org/officeDocument/2006/relationships/hyperlink" Target="https://www.canva.com/design/DAF4qFDUtAo/EH1FW7bUrNfmIaioLtAkfQ/view" TargetMode="External"/><Relationship Id="rId29" Type="http://schemas.openxmlformats.org/officeDocument/2006/relationships/hyperlink" Target="https://drive.google.com/file/d/1S2k09nD9-RfFx_3u-u-FiJPmgy0SM0Za/view?usp=sharing" TargetMode="External"/><Relationship Id="rId51" Type="http://schemas.openxmlformats.org/officeDocument/2006/relationships/hyperlink" Target="https://g0v.hackmd.io/JzB6MXZRThm6hIgS0OHEdQ?view" TargetMode="External"/><Relationship Id="rId50" Type="http://schemas.openxmlformats.org/officeDocument/2006/relationships/hyperlink" Target="https://cofacts.tw/hack" TargetMode="External"/><Relationship Id="rId53" Type="http://schemas.openxmlformats.org/officeDocument/2006/relationships/hyperlink" Target="https://sch001.g0v.tw/dash/prj/PnW85Gc3Ab9mN37f5K6C96w203IqUV" TargetMode="External"/><Relationship Id="rId52" Type="http://schemas.openxmlformats.org/officeDocument/2006/relationships/hyperlink" Target="https://docs.google.com/presentation/d/1nxQ7S_vkNjG04i2ixLPt2Znuso2FJE6EXhWem4BMSpw/edit" TargetMode="External"/><Relationship Id="rId11" Type="http://schemas.openxmlformats.org/officeDocument/2006/relationships/hyperlink" Target="https://g0v.hackmd.io/dF5TkVAzRI-A11RRFu4TaA" TargetMode="External"/><Relationship Id="rId55" Type="http://schemas.openxmlformats.org/officeDocument/2006/relationships/hyperlink" Target="https://sch001.g0v.tw/dash/prj/PnB4vTW30nTEyCRS51xCsJaLMXyCV2" TargetMode="External"/><Relationship Id="rId10" Type="http://schemas.openxmlformats.org/officeDocument/2006/relationships/hyperlink" Target="https://linuxodyssey.xyz" TargetMode="External"/><Relationship Id="rId54" Type="http://schemas.openxmlformats.org/officeDocument/2006/relationships/hyperlink" Target="https://www.canva.com/design/DAF5D8MJMr4/tUh5ITie0HDjIFcOGsuIJg/edit?utm_content=DAF5D8MJMr4&amp;utm_campaign=designshare&amp;utm_medium=link2&amp;utm_source=sharebutton" TargetMode="External"/><Relationship Id="rId13" Type="http://schemas.openxmlformats.org/officeDocument/2006/relationships/hyperlink" Target="https://docs.google.com/presentation/d/135b4_AhlPvTwcEyuLAmjnzxzN4Ul_tbSQX3D6rK61TM/edit" TargetMode="External"/><Relationship Id="rId57" Type="http://schemas.openxmlformats.org/officeDocument/2006/relationships/hyperlink" Target="https://g0v.hackmd.io/@paulpengtw/DigiResiTh0n-home/https%3A%2F%2Fg0v.hackmd.io%2F%40paulpengtw%2FDigiResiTh0n-home" TargetMode="External"/><Relationship Id="rId12" Type="http://schemas.openxmlformats.org/officeDocument/2006/relationships/hyperlink" Target="https://docs.google.com/document/d/1w5bsZc_jRilntL6jidODwvSUL7soIz09pzCScowE9VY/edit" TargetMode="External"/><Relationship Id="rId56" Type="http://schemas.openxmlformats.org/officeDocument/2006/relationships/hyperlink" Target="https://www.canva.com/design/DAF4qFDUtAo/EH1FW7bUrNfmIaioLtAkfQ/view" TargetMode="External"/><Relationship Id="rId15" Type="http://schemas.openxmlformats.org/officeDocument/2006/relationships/hyperlink" Target="https://g0v.hackmd.io/@ddio-io/By-bTOr_a" TargetMode="External"/><Relationship Id="rId59" Type="http://schemas.openxmlformats.org/officeDocument/2006/relationships/hyperlink" Target="https://g0v.hackmd.io/@paulpengtw/DigiResiTh0n-home/%2FmKkOC9PLSXi0GZg7uGm1xA" TargetMode="External"/><Relationship Id="rId14" Type="http://schemas.openxmlformats.org/officeDocument/2006/relationships/hyperlink" Target="https://g0v.hackmd.io/kHm-7vUzSVa6piLJM3H7cA" TargetMode="External"/><Relationship Id="rId58" Type="http://schemas.openxmlformats.org/officeDocument/2006/relationships/hyperlink" Target="https://gamma.app/docs/-k2mshk2q40b53ck?mode=doc" TargetMode="External"/><Relationship Id="rId17" Type="http://schemas.openxmlformats.org/officeDocument/2006/relationships/hyperlink" Target="https://docs.google.com/presentation/d/1vCi5IpGvNEuNE7OP9o8shEiU0LYTjG_B6EX68-tY_A4/edit" TargetMode="External"/><Relationship Id="rId16" Type="http://schemas.openxmlformats.org/officeDocument/2006/relationships/hyperlink" Target="https://cofacts.tw/hack" TargetMode="External"/><Relationship Id="rId19" Type="http://schemas.openxmlformats.org/officeDocument/2006/relationships/hyperlink" Target="https://docs.google.com/presentation/d/1RmRK5q-v5zzbVXZs2tIIbYTuMjiR7CURnB30h0raQEM/edit?usp=sharing" TargetMode="External"/><Relationship Id="rId18" Type="http://schemas.openxmlformats.org/officeDocument/2006/relationships/hyperlink" Target="https://g0v.hackmd.io/@jothon/sch001book202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lpha.dev-in.tw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bility-of-self-studying-com.tw" TargetMode="External"/><Relationship Id="rId42" Type="http://schemas.openxmlformats.org/officeDocument/2006/relationships/hyperlink" Target="https://www.canva.com/design/DAF45zxnHVs/65r2vlaiVbXOsK5uzx0qrg/view?utm_content=DAF45zxnHVs&amp;utm_campaign=designshare&amp;utm_medium=link&amp;utm_source=editor" TargetMode="External"/><Relationship Id="rId41" Type="http://schemas.openxmlformats.org/officeDocument/2006/relationships/hyperlink" Target="https://sch001.g0v.tw/dash/prj/PoL5RBB4_J_I_EdG5X4BfXJ8TMRb3F" TargetMode="External"/><Relationship Id="rId44" Type="http://schemas.openxmlformats.org/officeDocument/2006/relationships/drawing" Target="../drawings/drawing3.xml"/><Relationship Id="rId43" Type="http://schemas.openxmlformats.org/officeDocument/2006/relationships/hyperlink" Target="https://www.youtube.com/watch?v=oQRi9ICzvQg&amp;feature=youtu.be" TargetMode="External"/><Relationship Id="rId1" Type="http://schemas.openxmlformats.org/officeDocument/2006/relationships/hyperlink" Target="https://g0v.hackmd.io/@jothon/rydvIDluT/https%3A%2F%2Fg0v.hackmd.io%2F%40jothon%2FSJd8BS4r6" TargetMode="External"/><Relationship Id="rId2" Type="http://schemas.openxmlformats.org/officeDocument/2006/relationships/hyperlink" Target="https://docs.google.com/presentation/d/1vuz1CgqKdakos6ObJyGNBTHjye3-nsT3ihbWo_XbBDE/edit?usp=sharing" TargetMode="External"/><Relationship Id="rId3" Type="http://schemas.openxmlformats.org/officeDocument/2006/relationships/hyperlink" Target="https://docs.google.com/presentation/d/1vuz1CgqKdakos6ObJyGNBTHjye3-nsT3ihbWo_XbBDE/edit?usp=sharing" TargetMode="External"/><Relationship Id="rId4" Type="http://schemas.openxmlformats.org/officeDocument/2006/relationships/hyperlink" Target="https://sch001.g0v.tw/dash/prj/PnPyv4c3Dc1WoDcP5JbAe9ZPwmAsHe" TargetMode="External"/><Relationship Id="rId9" Type="http://schemas.openxmlformats.org/officeDocument/2006/relationships/hyperlink" Target="https://www.youtube.com/watch?v=T5ecvltQGa8" TargetMode="External"/><Relationship Id="rId5" Type="http://schemas.openxmlformats.org/officeDocument/2006/relationships/hyperlink" Target="https://hackmd.io/@wancat/linux-odyssey-sch001" TargetMode="External"/><Relationship Id="rId6" Type="http://schemas.openxmlformats.org/officeDocument/2006/relationships/hyperlink" Target="https://youtu.be/XzvfmUf1QP8" TargetMode="External"/><Relationship Id="rId7" Type="http://schemas.openxmlformats.org/officeDocument/2006/relationships/hyperlink" Target="https://sch001.g0v.tw/dash/prj/PnXKqjD1DGGpXBHr5DF9lXig.R44Pm" TargetMode="External"/><Relationship Id="rId8" Type="http://schemas.openxmlformats.org/officeDocument/2006/relationships/hyperlink" Target="https://drive.google.com/file/d/1KkqN19PvzpJcGRLP3TkPxlDbnHmVWQjB/view?usp=sharing" TargetMode="External"/><Relationship Id="rId31" Type="http://schemas.openxmlformats.org/officeDocument/2006/relationships/hyperlink" Target="https://sch001.g0v.tw/dash/prj/Pnl6KLz15UkjzAxJ5OZBHtVOfjrAWZ" TargetMode="External"/><Relationship Id="rId30" Type="http://schemas.openxmlformats.org/officeDocument/2006/relationships/hyperlink" Target="https://youtu.be/KaRfR8xhFlE?si=uZ7M0OrPsYk3E9fi" TargetMode="External"/><Relationship Id="rId33" Type="http://schemas.openxmlformats.org/officeDocument/2006/relationships/hyperlink" Target="https://www.youtube.com/watch?v=yGBGf5gNhPE&amp;feature=youtu.be" TargetMode="External"/><Relationship Id="rId32" Type="http://schemas.openxmlformats.org/officeDocument/2006/relationships/hyperlink" Target="https://hackmd.io/@denkeni/intuiPhysics" TargetMode="External"/><Relationship Id="rId35" Type="http://schemas.openxmlformats.org/officeDocument/2006/relationships/hyperlink" Target="https://g0v.hackmd.io/eivkYtpjQiSQHyP7M-H9zA?view" TargetMode="External"/><Relationship Id="rId34" Type="http://schemas.openxmlformats.org/officeDocument/2006/relationships/hyperlink" Target="https://sch001.g0v.tw/dash/prj/PoKDYzo1cSWY31335KNAYVHZpgzjac" TargetMode="External"/><Relationship Id="rId37" Type="http://schemas.openxmlformats.org/officeDocument/2006/relationships/hyperlink" Target="https://www.youtube.com/watch?v=dQw4w9WgXcQ" TargetMode="External"/><Relationship Id="rId36" Type="http://schemas.openxmlformats.org/officeDocument/2006/relationships/hyperlink" Target="https://g0v.hackmd.io/@paulpengtw/EASY-SLACK" TargetMode="External"/><Relationship Id="rId39" Type="http://schemas.openxmlformats.org/officeDocument/2006/relationships/hyperlink" Target="https://www.canva.com/design/DAF5CJqu7Ok/Yv32TjB7FLJfhPtsk6eIaA/view" TargetMode="External"/><Relationship Id="rId38" Type="http://schemas.openxmlformats.org/officeDocument/2006/relationships/hyperlink" Target="https://sch001.g0v.tw/dash/prj/Pn1mBym4QAdtcG3r5hCC9uFFE6nLXq" TargetMode="External"/><Relationship Id="rId20" Type="http://schemas.openxmlformats.org/officeDocument/2006/relationships/hyperlink" Target="https://www.youtube.com/watch?v=LB61bHm7rLw&amp;t=9156s" TargetMode="External"/><Relationship Id="rId22" Type="http://schemas.openxmlformats.org/officeDocument/2006/relationships/hyperlink" Target="https://www.canva.com/design/DAF4Y3ht7Ug/G-uDkCp81a044SnUybywwg/view" TargetMode="External"/><Relationship Id="rId21" Type="http://schemas.openxmlformats.org/officeDocument/2006/relationships/hyperlink" Target="https://sch001.g0v.tw/dash/prj/PnB4vTW30nTEyCRS51xCsJaLMXyCV2" TargetMode="External"/><Relationship Id="rId24" Type="http://schemas.openxmlformats.org/officeDocument/2006/relationships/hyperlink" Target="https://sch001.g0v.tw/dash/prj/PnaXcL91ObjQ8E_I5S_A3RR.7aA4Zz" TargetMode="External"/><Relationship Id="rId23" Type="http://schemas.openxmlformats.org/officeDocument/2006/relationships/hyperlink" Target="https://www.youtube.com/watch?v=vKpJbmpsUFU" TargetMode="External"/><Relationship Id="rId26" Type="http://schemas.openxmlformats.org/officeDocument/2006/relationships/hyperlink" Target="https://www.youtube.com/watch?v=vy1k3zOVQxo&amp;ab_channel=Sumah" TargetMode="External"/><Relationship Id="rId25" Type="http://schemas.openxmlformats.org/officeDocument/2006/relationships/hyperlink" Target="https://drive.google.com/file/d/1sICLBbvucZ7hrykV3pYno5FMfnjJ8gxk/view?usp=sharing" TargetMode="External"/><Relationship Id="rId28" Type="http://schemas.openxmlformats.org/officeDocument/2006/relationships/hyperlink" Target="https://sch001.g0v.tw/dash/prj/PnwL01x2_vGdm6ar5ejAk42RW.tDyP" TargetMode="External"/><Relationship Id="rId27" Type="http://schemas.openxmlformats.org/officeDocument/2006/relationships/hyperlink" Target="https://sch001.g0v.tw/dash/prj/PnlUadM3vj592EXE5wcAlDHJkAizvN" TargetMode="External"/><Relationship Id="rId29" Type="http://schemas.openxmlformats.org/officeDocument/2006/relationships/hyperlink" Target="https://drive.google.com/file/d/1WsAPfM2PQ4y9AxBUHjzH_A9_r0VIFIJB/view?usp=sharing" TargetMode="External"/><Relationship Id="rId11" Type="http://schemas.openxmlformats.org/officeDocument/2006/relationships/hyperlink" Target="https://www.canva.com/design/DAF5BIGUn2M/--wnCAhvESdYXBFdsAVw3w/edit?utm_content=DAF5BIGUn2M&amp;utm_campaign=designshare&amp;utm_medium=link2&amp;utm_source=sharebutton" TargetMode="External"/><Relationship Id="rId10" Type="http://schemas.openxmlformats.org/officeDocument/2006/relationships/hyperlink" Target="https://sch001.g0v.tw/dash/prj/PoL5uzY3bFrLGG.P5nzCq1JV25eKoH" TargetMode="External"/><Relationship Id="rId13" Type="http://schemas.openxmlformats.org/officeDocument/2006/relationships/hyperlink" Target="https://www.youtube.com/watch?v=FnSwkhTGhVY&amp;ab_channel=Yuchau-yi" TargetMode="External"/><Relationship Id="rId12" Type="http://schemas.openxmlformats.org/officeDocument/2006/relationships/hyperlink" Target="mailto:cs7327@apps.ntpc.edu.tw" TargetMode="External"/><Relationship Id="rId15" Type="http://schemas.openxmlformats.org/officeDocument/2006/relationships/hyperlink" Target="https://docs.google.com/presentation/d/1V76Omsaw3OSieRiUrhCIYrpaex8m3rYG6vQYqKiXdDA/edit?usp=sharing" TargetMode="External"/><Relationship Id="rId14" Type="http://schemas.openxmlformats.org/officeDocument/2006/relationships/hyperlink" Target="https://sch001.g0v.tw/dash/prj/PjaZTE03200wJ18z5c.93VP2A7OJ4Q" TargetMode="External"/><Relationship Id="rId17" Type="http://schemas.openxmlformats.org/officeDocument/2006/relationships/hyperlink" Target="https://www.youtube.com/watch?v=uPm21KhOt1Q" TargetMode="External"/><Relationship Id="rId16" Type="http://schemas.openxmlformats.org/officeDocument/2006/relationships/hyperlink" Target="mailto:haco@lazco.dev" TargetMode="External"/><Relationship Id="rId19" Type="http://schemas.openxmlformats.org/officeDocument/2006/relationships/hyperlink" Target="https://docs.google.com/presentation/d/1-hz-SPa5hwS7F72_QQRVa0P6ecphWIfUSEpKKN9yR8M/edit?usp=sharing" TargetMode="External"/><Relationship Id="rId18" Type="http://schemas.openxmlformats.org/officeDocument/2006/relationships/hyperlink" Target="https://sch001.g0v.tw/dash/prj/PoJzaMK4LjzJHAip5BgCVL7fYuYzz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10.88"/>
    <col customWidth="1" min="6" max="6" width="6.13"/>
    <col customWidth="1" min="7" max="7" width="12.25"/>
    <col customWidth="1" min="8" max="8" width="28.13"/>
    <col customWidth="1" min="9" max="9" width="12.0"/>
    <col customWidth="1" min="10" max="10" width="13.38"/>
    <col customWidth="1" min="11" max="11" width="23.25"/>
    <col customWidth="1" min="12" max="12" width="28.38"/>
    <col customWidth="1" min="13" max="13" width="17.5"/>
    <col customWidth="1" min="14" max="14" width="21.0"/>
    <col customWidth="1" min="15" max="15" width="35.5"/>
    <col customWidth="1" min="16" max="16" width="22.5"/>
    <col customWidth="1" min="17" max="17" width="15.5"/>
    <col customWidth="1" min="18" max="19" width="18.13"/>
  </cols>
  <sheetData>
    <row r="1" ht="23.25" hidden="1" customHeight="1">
      <c r="A1" s="1"/>
      <c r="P1" s="1"/>
      <c r="Q1" s="2"/>
      <c r="R1" s="2"/>
      <c r="S1" s="2"/>
    </row>
    <row r="2" ht="15.0" customHeight="1">
      <c r="A2" s="3"/>
      <c r="B2" s="3" t="s">
        <v>0</v>
      </c>
      <c r="C2" s="4" t="s">
        <v>1</v>
      </c>
      <c r="D2" s="3" t="s">
        <v>2</v>
      </c>
      <c r="E2" s="3" t="s">
        <v>3</v>
      </c>
      <c r="F2" s="5" t="s">
        <v>4</v>
      </c>
      <c r="G2" s="3" t="s">
        <v>5</v>
      </c>
      <c r="H2" s="3" t="s">
        <v>6</v>
      </c>
      <c r="I2" s="3" t="s">
        <v>7</v>
      </c>
      <c r="J2" s="6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7" t="s">
        <v>14</v>
      </c>
      <c r="Q2" s="3" t="s">
        <v>15</v>
      </c>
      <c r="R2" s="8" t="s">
        <v>16</v>
      </c>
      <c r="S2" s="3" t="s">
        <v>17</v>
      </c>
    </row>
    <row r="3" ht="15.0" customHeight="1">
      <c r="A3" s="9" t="s">
        <v>18</v>
      </c>
      <c r="S3" s="9"/>
    </row>
    <row r="4" ht="15.0" customHeight="1">
      <c r="A4" s="10" t="s">
        <v>19</v>
      </c>
      <c r="P4" s="10"/>
      <c r="Q4" s="10"/>
      <c r="R4" s="10"/>
      <c r="S4" s="11"/>
    </row>
    <row r="5" ht="18.0" customHeight="1">
      <c r="A5" s="12">
        <v>1.0</v>
      </c>
      <c r="B5" s="13">
        <v>0.4027777777777778</v>
      </c>
      <c r="C5" s="14"/>
      <c r="D5" s="15" t="s">
        <v>20</v>
      </c>
      <c r="E5" s="15" t="s">
        <v>21</v>
      </c>
      <c r="F5" s="16" t="s">
        <v>22</v>
      </c>
      <c r="G5" s="14" t="s">
        <v>23</v>
      </c>
      <c r="H5" s="14" t="s">
        <v>24</v>
      </c>
      <c r="I5" s="15" t="s">
        <v>25</v>
      </c>
      <c r="J5" s="15" t="s">
        <v>22</v>
      </c>
      <c r="K5" s="17" t="s">
        <v>26</v>
      </c>
      <c r="L5" s="18" t="s">
        <v>27</v>
      </c>
      <c r="M5" s="19" t="s">
        <v>22</v>
      </c>
      <c r="N5" s="14" t="s">
        <v>28</v>
      </c>
      <c r="O5" s="20" t="s">
        <v>29</v>
      </c>
      <c r="P5" s="14" t="s">
        <v>30</v>
      </c>
      <c r="Q5" s="21" t="s">
        <v>31</v>
      </c>
      <c r="R5" s="21" t="s">
        <v>31</v>
      </c>
      <c r="S5" s="22" t="str">
        <f t="shared" ref="S5:S22" si="1">"g0v tw hackath60n — 提案 — "&amp;G5&amp;" ／ "&amp;D5&amp;" — 記得投票黑客松"</f>
        <v>g0v tw hackath60n — 提案 — 醬活 ／ fly — 記得投票黑客松</v>
      </c>
    </row>
    <row r="6" ht="15.0" customHeight="1">
      <c r="A6" s="23">
        <v>2.0</v>
      </c>
      <c r="B6" s="24">
        <v>0.4048611111111111</v>
      </c>
      <c r="C6" s="25"/>
      <c r="D6" s="25" t="s">
        <v>32</v>
      </c>
      <c r="E6" s="26" t="s">
        <v>33</v>
      </c>
      <c r="F6" s="27" t="s">
        <v>22</v>
      </c>
      <c r="G6" s="28" t="s">
        <v>34</v>
      </c>
      <c r="H6" s="28" t="s">
        <v>35</v>
      </c>
      <c r="I6" s="25" t="s">
        <v>36</v>
      </c>
      <c r="J6" s="25" t="s">
        <v>22</v>
      </c>
      <c r="K6" s="29" t="s">
        <v>37</v>
      </c>
      <c r="L6" s="28"/>
      <c r="M6" s="30" t="s">
        <v>22</v>
      </c>
      <c r="N6" s="28" t="s">
        <v>38</v>
      </c>
      <c r="O6" s="28" t="s">
        <v>39</v>
      </c>
      <c r="P6" s="28" t="s">
        <v>40</v>
      </c>
      <c r="Q6" s="28"/>
      <c r="R6" s="31"/>
      <c r="S6" s="22" t="str">
        <f t="shared" si="1"/>
        <v>g0v tw hackath60n — 提案 — 繁體中文 AI 開源實踐計畫 ／ 揪松團 — 記得投票黑客松</v>
      </c>
    </row>
    <row r="7" ht="15.0" customHeight="1">
      <c r="A7" s="23">
        <v>3.0</v>
      </c>
      <c r="B7" s="24">
        <v>0.40694444444444444</v>
      </c>
      <c r="C7" s="25"/>
      <c r="D7" s="25" t="s">
        <v>41</v>
      </c>
      <c r="E7" s="28" t="s">
        <v>33</v>
      </c>
      <c r="F7" s="27" t="s">
        <v>22</v>
      </c>
      <c r="G7" s="28" t="s">
        <v>42</v>
      </c>
      <c r="H7" s="28" t="s">
        <v>43</v>
      </c>
      <c r="I7" s="25" t="s">
        <v>44</v>
      </c>
      <c r="J7" s="25" t="s">
        <v>22</v>
      </c>
      <c r="K7" s="29" t="s">
        <v>45</v>
      </c>
      <c r="L7" s="29" t="s">
        <v>46</v>
      </c>
      <c r="M7" s="30" t="s">
        <v>22</v>
      </c>
      <c r="N7" s="28" t="s">
        <v>47</v>
      </c>
      <c r="O7" s="28" t="s">
        <v>48</v>
      </c>
      <c r="P7" s="28" t="s">
        <v>49</v>
      </c>
      <c r="Q7" s="32" t="s">
        <v>50</v>
      </c>
      <c r="R7" s="31"/>
      <c r="S7" s="22" t="str">
        <f t="shared" si="1"/>
        <v>g0v tw hackath60n — 提案 — Linux Odyssey ／ 宏信 — 記得投票黑客松</v>
      </c>
    </row>
    <row r="8" ht="15.0" customHeight="1">
      <c r="A8" s="33">
        <v>4.0</v>
      </c>
      <c r="B8" s="13">
        <v>0.40902777777777777</v>
      </c>
      <c r="C8" s="25"/>
      <c r="D8" s="25" t="s">
        <v>51</v>
      </c>
      <c r="E8" s="28" t="s">
        <v>33</v>
      </c>
      <c r="F8" s="27" t="s">
        <v>22</v>
      </c>
      <c r="G8" s="34" t="s">
        <v>52</v>
      </c>
      <c r="H8" s="28" t="s">
        <v>52</v>
      </c>
      <c r="I8" s="35" t="s">
        <v>53</v>
      </c>
      <c r="J8" s="35" t="s">
        <v>22</v>
      </c>
      <c r="K8" s="28"/>
      <c r="L8" s="29" t="s">
        <v>54</v>
      </c>
      <c r="M8" s="30" t="s">
        <v>22</v>
      </c>
      <c r="N8" s="28" t="s">
        <v>55</v>
      </c>
      <c r="O8" s="28" t="s">
        <v>56</v>
      </c>
      <c r="P8" s="28"/>
      <c r="Q8" s="28"/>
      <c r="R8" s="31"/>
      <c r="S8" s="22" t="str">
        <f t="shared" si="1"/>
        <v>g0v tw hackath60n — 提案 — 開放學生自治社群 ／ Ted — 記得投票黑客松</v>
      </c>
    </row>
    <row r="9" ht="15.0" customHeight="1">
      <c r="A9" s="23">
        <v>5.0</v>
      </c>
      <c r="B9" s="24">
        <v>0.4111111111111111</v>
      </c>
      <c r="C9" s="25"/>
      <c r="D9" s="25" t="s">
        <v>57</v>
      </c>
      <c r="E9" s="28" t="s">
        <v>33</v>
      </c>
      <c r="F9" s="27" t="s">
        <v>22</v>
      </c>
      <c r="G9" s="28" t="s">
        <v>58</v>
      </c>
      <c r="H9" s="28" t="s">
        <v>59</v>
      </c>
      <c r="I9" s="25" t="s">
        <v>25</v>
      </c>
      <c r="J9" s="25" t="s">
        <v>22</v>
      </c>
      <c r="K9" s="29" t="s">
        <v>60</v>
      </c>
      <c r="L9" s="32" t="s">
        <v>61</v>
      </c>
      <c r="M9" s="30" t="s">
        <v>22</v>
      </c>
      <c r="N9" s="28" t="s">
        <v>62</v>
      </c>
      <c r="O9" s="28" t="s">
        <v>63</v>
      </c>
      <c r="P9" s="28" t="s">
        <v>64</v>
      </c>
      <c r="Q9" s="28"/>
      <c r="R9" s="31"/>
      <c r="S9" s="22" t="str">
        <f t="shared" si="1"/>
        <v>g0v tw hackath60n — 提案 — SITCON 編輯組 ／ Sky / 蓋蓋 — 記得投票黑客松</v>
      </c>
    </row>
    <row r="10" ht="15.0" customHeight="1">
      <c r="A10" s="23">
        <v>6.0</v>
      </c>
      <c r="B10" s="24">
        <v>0.4131944444444444</v>
      </c>
      <c r="C10" s="25"/>
      <c r="D10" s="25" t="s">
        <v>65</v>
      </c>
      <c r="E10" s="28" t="s">
        <v>33</v>
      </c>
      <c r="F10" s="27" t="s">
        <v>22</v>
      </c>
      <c r="G10" s="28" t="s">
        <v>66</v>
      </c>
      <c r="H10" s="28" t="s">
        <v>67</v>
      </c>
      <c r="I10" s="25" t="s">
        <v>36</v>
      </c>
      <c r="J10" s="25" t="s">
        <v>22</v>
      </c>
      <c r="K10" s="29" t="s">
        <v>68</v>
      </c>
      <c r="L10" s="32" t="s">
        <v>69</v>
      </c>
      <c r="M10" s="36" t="s">
        <v>22</v>
      </c>
      <c r="N10" s="37" t="s">
        <v>70</v>
      </c>
      <c r="O10" s="28" t="s">
        <v>71</v>
      </c>
      <c r="P10" s="28" t="s">
        <v>72</v>
      </c>
      <c r="Q10" s="28"/>
      <c r="R10" s="31"/>
      <c r="S10" s="22" t="str">
        <f t="shared" si="1"/>
        <v>g0v tw hackath60n — 提案 — Rentea ／ ddio — 記得投票黑客松</v>
      </c>
    </row>
    <row r="11" ht="18.0" customHeight="1">
      <c r="A11" s="23">
        <v>7.0</v>
      </c>
      <c r="B11" s="24">
        <v>0.4152777777777778</v>
      </c>
      <c r="C11" s="25"/>
      <c r="D11" s="25" t="s">
        <v>73</v>
      </c>
      <c r="E11" s="26" t="s">
        <v>33</v>
      </c>
      <c r="F11" s="16" t="s">
        <v>22</v>
      </c>
      <c r="G11" s="38" t="s">
        <v>74</v>
      </c>
      <c r="H11" s="38" t="s">
        <v>75</v>
      </c>
      <c r="I11" s="39" t="s">
        <v>76</v>
      </c>
      <c r="J11" s="15" t="s">
        <v>77</v>
      </c>
      <c r="K11" s="40" t="s">
        <v>78</v>
      </c>
      <c r="L11" s="40" t="s">
        <v>79</v>
      </c>
      <c r="M11" s="41" t="s">
        <v>22</v>
      </c>
      <c r="N11" s="38" t="s">
        <v>80</v>
      </c>
      <c r="O11" s="38" t="s">
        <v>81</v>
      </c>
      <c r="P11" s="42" t="s">
        <v>82</v>
      </c>
      <c r="Q11" s="14"/>
      <c r="R11" s="22"/>
      <c r="S11" s="22" t="str">
        <f t="shared" si="1"/>
        <v>g0v tw hackath60n — 提案 — Cofacts 真的假的 ／ Bil — 記得投票黑客松</v>
      </c>
    </row>
    <row r="12" ht="15.0" customHeight="1">
      <c r="A12" s="23">
        <v>8.0</v>
      </c>
      <c r="B12" s="24">
        <v>0.4173611111111111</v>
      </c>
      <c r="C12" s="25"/>
      <c r="D12" s="25" t="s">
        <v>83</v>
      </c>
      <c r="E12" s="28" t="s">
        <v>33</v>
      </c>
      <c r="F12" s="16" t="s">
        <v>22</v>
      </c>
      <c r="G12" s="28" t="s">
        <v>83</v>
      </c>
      <c r="H12" s="28" t="s">
        <v>84</v>
      </c>
      <c r="I12" s="25" t="s">
        <v>36</v>
      </c>
      <c r="J12" s="15" t="s">
        <v>77</v>
      </c>
      <c r="K12" s="32" t="s">
        <v>85</v>
      </c>
      <c r="L12" s="32" t="s">
        <v>86</v>
      </c>
      <c r="M12" s="41" t="s">
        <v>22</v>
      </c>
      <c r="N12" s="28" t="s">
        <v>87</v>
      </c>
      <c r="O12" s="28" t="s">
        <v>88</v>
      </c>
      <c r="P12" s="28" t="s">
        <v>89</v>
      </c>
      <c r="Q12" s="28"/>
      <c r="R12" s="31"/>
      <c r="S12" s="22" t="str">
        <f t="shared" si="1"/>
        <v>g0v tw hackath60n — 提案 — 零時小學校 ／ 零時小學校 — 記得投票黑客松</v>
      </c>
    </row>
    <row r="13" ht="15.0" customHeight="1">
      <c r="A13" s="23">
        <v>9.0</v>
      </c>
      <c r="B13" s="24">
        <v>0.41944444444444445</v>
      </c>
      <c r="C13" s="25"/>
      <c r="D13" s="25" t="s">
        <v>90</v>
      </c>
      <c r="E13" s="28" t="s">
        <v>33</v>
      </c>
      <c r="F13" s="27" t="s">
        <v>22</v>
      </c>
      <c r="G13" s="28" t="s">
        <v>91</v>
      </c>
      <c r="H13" s="28" t="s">
        <v>92</v>
      </c>
      <c r="I13" s="25" t="s">
        <v>93</v>
      </c>
      <c r="J13" s="25" t="s">
        <v>22</v>
      </c>
      <c r="K13" s="29" t="s">
        <v>94</v>
      </c>
      <c r="L13" s="29" t="s">
        <v>95</v>
      </c>
      <c r="M13" s="30" t="s">
        <v>22</v>
      </c>
      <c r="N13" s="28"/>
      <c r="O13" s="29" t="s">
        <v>96</v>
      </c>
      <c r="P13" s="28" t="s">
        <v>97</v>
      </c>
      <c r="Q13" s="28"/>
      <c r="R13" s="31"/>
      <c r="S13" s="22" t="str">
        <f t="shared" si="1"/>
        <v>g0v tw hackath60n — 提案 — Summit ／ RSChiang — 記得投票黑客松</v>
      </c>
    </row>
    <row r="14" ht="15.0" customHeight="1">
      <c r="A14" s="23">
        <v>10.0</v>
      </c>
      <c r="B14" s="13">
        <v>0.4215277777777778</v>
      </c>
      <c r="C14" s="25"/>
      <c r="D14" s="25" t="s">
        <v>98</v>
      </c>
      <c r="E14" s="28" t="s">
        <v>33</v>
      </c>
      <c r="F14" s="27"/>
      <c r="G14" s="34" t="s">
        <v>99</v>
      </c>
      <c r="H14" s="28" t="s">
        <v>100</v>
      </c>
      <c r="I14" s="25" t="s">
        <v>100</v>
      </c>
      <c r="J14" s="25" t="s">
        <v>22</v>
      </c>
      <c r="K14" s="29" t="s">
        <v>101</v>
      </c>
      <c r="L14" s="29" t="s">
        <v>102</v>
      </c>
      <c r="M14" s="30" t="s">
        <v>22</v>
      </c>
      <c r="N14" s="28" t="s">
        <v>103</v>
      </c>
      <c r="O14" s="28"/>
      <c r="P14" s="28"/>
      <c r="Q14" s="28"/>
      <c r="R14" s="31"/>
      <c r="S14" s="22" t="str">
        <f t="shared" si="1"/>
        <v>g0v tw hackath60n — 提案 — PrideWatch彩虹選民投票指南 ／ 嗡嗡 — 記得投票黑客松</v>
      </c>
    </row>
    <row r="15" ht="15.0" customHeight="1">
      <c r="A15" s="43" t="s">
        <v>104</v>
      </c>
      <c r="F15" s="27"/>
      <c r="G15" s="28"/>
      <c r="H15" s="28"/>
      <c r="I15" s="25"/>
      <c r="J15" s="28"/>
      <c r="K15" s="28"/>
      <c r="L15" s="28"/>
      <c r="M15" s="30"/>
      <c r="N15" s="28"/>
      <c r="O15" s="34"/>
      <c r="P15" s="44"/>
      <c r="Q15" s="28"/>
      <c r="R15" s="31"/>
      <c r="S15" s="22" t="str">
        <f t="shared" si="1"/>
        <v>g0v tw hackath60n — 提案 —  ／  — 記得投票黑客松</v>
      </c>
    </row>
    <row r="16" ht="15.0" customHeight="1">
      <c r="A16" s="33">
        <v>11.0</v>
      </c>
      <c r="B16" s="13">
        <v>0.4236111111111111</v>
      </c>
      <c r="C16" s="25"/>
      <c r="D16" s="25" t="s">
        <v>105</v>
      </c>
      <c r="E16" s="28" t="s">
        <v>33</v>
      </c>
      <c r="F16" s="27"/>
      <c r="G16" s="28" t="s">
        <v>106</v>
      </c>
      <c r="H16" s="28" t="s">
        <v>107</v>
      </c>
      <c r="I16" s="25" t="s">
        <v>36</v>
      </c>
      <c r="J16" s="25" t="s">
        <v>22</v>
      </c>
      <c r="K16" s="29" t="s">
        <v>108</v>
      </c>
      <c r="L16" s="32" t="s">
        <v>109</v>
      </c>
      <c r="M16" s="30" t="s">
        <v>22</v>
      </c>
      <c r="N16" s="28" t="s">
        <v>110</v>
      </c>
      <c r="O16" s="28" t="s">
        <v>111</v>
      </c>
      <c r="P16" s="28" t="s">
        <v>112</v>
      </c>
      <c r="Q16" s="31"/>
      <c r="R16" s="31"/>
      <c r="S16" s="22" t="str">
        <f t="shared" si="1"/>
        <v>g0v tw hackath60n — 提案 — vtaiwan ／ Peter — 記得投票黑客松</v>
      </c>
    </row>
    <row r="17" ht="15.0" customHeight="1">
      <c r="A17" s="33">
        <v>12.0</v>
      </c>
      <c r="B17" s="24">
        <v>0.42569444444444443</v>
      </c>
      <c r="C17" s="25"/>
      <c r="D17" s="45" t="s">
        <v>113</v>
      </c>
      <c r="E17" s="28" t="s">
        <v>33</v>
      </c>
      <c r="F17" s="27" t="s">
        <v>114</v>
      </c>
      <c r="G17" s="46" t="s">
        <v>115</v>
      </c>
      <c r="H17" s="46" t="s">
        <v>116</v>
      </c>
      <c r="I17" s="25" t="s">
        <v>117</v>
      </c>
      <c r="J17" s="25" t="s">
        <v>22</v>
      </c>
      <c r="K17" s="31"/>
      <c r="L17" s="29" t="s">
        <v>118</v>
      </c>
      <c r="M17" s="30" t="s">
        <v>22</v>
      </c>
      <c r="N17" s="46" t="s">
        <v>119</v>
      </c>
      <c r="O17" s="28" t="s">
        <v>120</v>
      </c>
      <c r="P17" s="28" t="s">
        <v>121</v>
      </c>
      <c r="Q17" s="29" t="s">
        <v>122</v>
      </c>
      <c r="R17" s="31"/>
      <c r="S17" s="22" t="str">
        <f t="shared" si="1"/>
        <v>g0v tw hackath60n — 提案 — 綠洲計畫LZGH ／ 齊一 — 記得投票黑客松</v>
      </c>
    </row>
    <row r="18" ht="15.0" customHeight="1">
      <c r="A18" s="33">
        <v>13.0</v>
      </c>
      <c r="B18" s="24">
        <v>0.42777777777777776</v>
      </c>
      <c r="C18" s="25"/>
      <c r="D18" s="47" t="s">
        <v>123</v>
      </c>
      <c r="E18" s="28" t="s">
        <v>33</v>
      </c>
      <c r="F18" s="48"/>
      <c r="G18" s="49"/>
      <c r="H18" s="49" t="s">
        <v>124</v>
      </c>
      <c r="I18" s="25" t="s">
        <v>117</v>
      </c>
      <c r="J18" s="25" t="s">
        <v>22</v>
      </c>
      <c r="K18" s="49"/>
      <c r="L18" s="29" t="s">
        <v>125</v>
      </c>
      <c r="M18" s="30" t="s">
        <v>22</v>
      </c>
      <c r="N18" s="28" t="s">
        <v>126</v>
      </c>
      <c r="O18" s="28" t="s">
        <v>127</v>
      </c>
      <c r="P18" s="28" t="s">
        <v>128</v>
      </c>
      <c r="Q18" s="28"/>
      <c r="R18" s="31"/>
      <c r="S18" s="22" t="str">
        <f t="shared" si="1"/>
        <v>g0v tw hackath60n — 提案 —  ／ Yvonne — 記得投票黑客松</v>
      </c>
    </row>
    <row r="19" ht="15.0" customHeight="1">
      <c r="A19" s="33">
        <v>14.0</v>
      </c>
      <c r="B19" s="24">
        <v>0.42986111111111114</v>
      </c>
      <c r="C19" s="25"/>
      <c r="D19" s="25" t="s">
        <v>129</v>
      </c>
      <c r="E19" s="28" t="s">
        <v>33</v>
      </c>
      <c r="F19" s="27" t="s">
        <v>22</v>
      </c>
      <c r="G19" s="28"/>
      <c r="H19" s="28" t="s">
        <v>130</v>
      </c>
      <c r="I19" s="25"/>
      <c r="J19" s="25" t="s">
        <v>22</v>
      </c>
      <c r="K19" s="32" t="s">
        <v>131</v>
      </c>
      <c r="L19" s="50" t="s">
        <v>132</v>
      </c>
      <c r="M19" s="51"/>
      <c r="N19" s="28" t="s">
        <v>133</v>
      </c>
      <c r="O19" s="28" t="s">
        <v>134</v>
      </c>
      <c r="P19" s="28" t="s">
        <v>135</v>
      </c>
      <c r="Q19" s="28"/>
      <c r="R19" s="31"/>
      <c r="S19" s="22" t="str">
        <f t="shared" si="1"/>
        <v>g0v tw hackath60n — 提案 —  ／ Stanley — 記得投票黑客松</v>
      </c>
    </row>
    <row r="20" ht="15.0" customHeight="1">
      <c r="A20" s="33">
        <v>15.0</v>
      </c>
      <c r="B20" s="13">
        <v>0.43194444444444446</v>
      </c>
      <c r="C20" s="25"/>
      <c r="D20" s="25" t="s">
        <v>136</v>
      </c>
      <c r="E20" s="28" t="s">
        <v>33</v>
      </c>
      <c r="F20" s="27" t="s">
        <v>22</v>
      </c>
      <c r="G20" s="28" t="s">
        <v>137</v>
      </c>
      <c r="H20" s="28" t="s">
        <v>138</v>
      </c>
      <c r="I20" s="35" t="s">
        <v>139</v>
      </c>
      <c r="J20" s="25" t="s">
        <v>22</v>
      </c>
      <c r="K20" s="29" t="s">
        <v>140</v>
      </c>
      <c r="L20" s="29" t="s">
        <v>141</v>
      </c>
      <c r="M20" s="30" t="s">
        <v>22</v>
      </c>
      <c r="N20" s="25" t="s">
        <v>142</v>
      </c>
      <c r="O20" s="29" t="s">
        <v>143</v>
      </c>
      <c r="P20" s="29" t="s">
        <v>144</v>
      </c>
      <c r="Q20" s="28"/>
      <c r="R20" s="31"/>
      <c r="S20" s="22" t="str">
        <f t="shared" si="1"/>
        <v>g0v tw hackath60n — 提案 — 數位韌性松 digital resilience hackathon ／ paul — 記得投票黑客松</v>
      </c>
    </row>
    <row r="21" ht="15.0" customHeight="1">
      <c r="A21" s="28"/>
      <c r="B21" s="52"/>
      <c r="C21" s="25"/>
      <c r="D21" s="53" t="s">
        <v>145</v>
      </c>
      <c r="E21" s="28"/>
      <c r="F21" s="27"/>
      <c r="G21" s="28"/>
      <c r="H21" s="28"/>
      <c r="I21" s="25"/>
      <c r="J21" s="28"/>
      <c r="K21" s="28"/>
      <c r="L21" s="28"/>
      <c r="M21" s="51"/>
      <c r="N21" s="28"/>
      <c r="O21" s="28"/>
      <c r="P21" s="28"/>
      <c r="Q21" s="28"/>
      <c r="R21" s="31"/>
      <c r="S21" s="22" t="str">
        <f t="shared" si="1"/>
        <v>g0v tw hackath60n — 提案 —  ／ == 截止 == — 記得投票黑客松</v>
      </c>
    </row>
    <row r="22" ht="15.0" customHeight="1">
      <c r="A22" s="28"/>
      <c r="B22" s="52"/>
      <c r="C22" s="25"/>
      <c r="D22" s="54"/>
      <c r="E22" s="28"/>
      <c r="F22" s="27"/>
      <c r="G22" s="28"/>
      <c r="H22" s="28"/>
      <c r="I22" s="25"/>
      <c r="J22" s="28"/>
      <c r="K22" s="28"/>
      <c r="L22" s="28"/>
      <c r="M22" s="51"/>
      <c r="N22" s="28"/>
      <c r="O22" s="28"/>
      <c r="P22" s="28"/>
      <c r="Q22" s="28"/>
      <c r="R22" s="31"/>
      <c r="S22" s="22" t="str">
        <f t="shared" si="1"/>
        <v>g0v tw hackath60n — 提案 —  ／  — 記得投票黑客松</v>
      </c>
    </row>
    <row r="23" ht="15.0" customHeight="1">
      <c r="A23" s="9" t="s">
        <v>146</v>
      </c>
      <c r="S23" s="55"/>
    </row>
    <row r="24" ht="15.0" customHeight="1">
      <c r="A24" s="8" t="s">
        <v>147</v>
      </c>
      <c r="B24" s="8" t="s">
        <v>148</v>
      </c>
      <c r="C24" s="3" t="s">
        <v>1</v>
      </c>
      <c r="D24" s="56" t="s">
        <v>2</v>
      </c>
      <c r="E24" s="56" t="s">
        <v>149</v>
      </c>
      <c r="F24" s="5" t="s">
        <v>150</v>
      </c>
      <c r="G24" s="3" t="s">
        <v>5</v>
      </c>
      <c r="H24" s="3" t="s">
        <v>6</v>
      </c>
      <c r="I24" s="3" t="s">
        <v>151</v>
      </c>
      <c r="J24" s="57" t="s">
        <v>152</v>
      </c>
      <c r="K24" s="8"/>
      <c r="L24" s="8" t="s">
        <v>153</v>
      </c>
      <c r="M24" s="8"/>
      <c r="N24" s="56" t="s">
        <v>154</v>
      </c>
      <c r="O24" s="56" t="s">
        <v>13</v>
      </c>
      <c r="P24" s="7" t="s">
        <v>14</v>
      </c>
      <c r="Q24" s="58"/>
      <c r="R24" s="58"/>
      <c r="S24" s="59" t="str">
        <f t="shared" ref="S24:S28" si="2">"g0v tw hackath60n — 中場短講 — "&amp;G24&amp;" ／ "&amp;D24&amp;" — 記得投票黑客松"</f>
        <v>g0v tw hackath60n — 中場短講 — 專案名稱
Project Name ／ 發表者
Presenter — 記得投票黑客松</v>
      </c>
    </row>
    <row r="25" ht="15.0" customHeight="1">
      <c r="A25" s="60">
        <v>1.0</v>
      </c>
      <c r="B25" s="52">
        <v>0.6041666666666666</v>
      </c>
      <c r="C25" s="25"/>
      <c r="D25" s="25" t="s">
        <v>155</v>
      </c>
      <c r="E25" s="28" t="s">
        <v>21</v>
      </c>
      <c r="F25" s="27" t="s">
        <v>22</v>
      </c>
      <c r="G25" s="28" t="s">
        <v>156</v>
      </c>
      <c r="H25" s="28" t="s">
        <v>156</v>
      </c>
      <c r="I25" s="25" t="s">
        <v>36</v>
      </c>
      <c r="J25" s="25" t="s">
        <v>22</v>
      </c>
      <c r="K25" s="61"/>
      <c r="L25" s="62" t="s">
        <v>157</v>
      </c>
      <c r="M25" s="63"/>
      <c r="N25" s="61" t="s">
        <v>158</v>
      </c>
      <c r="O25" s="28" t="s">
        <v>159</v>
      </c>
      <c r="P25" s="28" t="s">
        <v>160</v>
      </c>
      <c r="Q25" s="64"/>
      <c r="R25" s="65"/>
      <c r="S25" s="59" t="str">
        <f t="shared" si="2"/>
        <v>g0v tw hackath60n — 中場短講 — 鏈上大松💗 ／ Stamford — 記得投票黑客松</v>
      </c>
    </row>
    <row r="26" ht="15.0" customHeight="1">
      <c r="A26" s="60">
        <v>2.0</v>
      </c>
      <c r="B26" s="52">
        <v>0.6111111111111112</v>
      </c>
      <c r="C26" s="25"/>
      <c r="D26" s="25" t="s">
        <v>41</v>
      </c>
      <c r="E26" s="28" t="s">
        <v>33</v>
      </c>
      <c r="F26" s="27" t="s">
        <v>22</v>
      </c>
      <c r="G26" s="64" t="s">
        <v>42</v>
      </c>
      <c r="H26" s="64" t="s">
        <v>161</v>
      </c>
      <c r="I26" s="25" t="s">
        <v>36</v>
      </c>
      <c r="J26" s="25" t="s">
        <v>22</v>
      </c>
      <c r="K26" s="64"/>
      <c r="M26" s="64"/>
      <c r="N26" s="64"/>
      <c r="O26" s="28"/>
      <c r="P26" s="28"/>
      <c r="Q26" s="64"/>
      <c r="R26" s="65"/>
      <c r="S26" s="59" t="str">
        <f t="shared" si="2"/>
        <v>g0v tw hackath60n — 中場短講 — Linux Odyssey ／ 宏信 — 記得投票黑客松</v>
      </c>
    </row>
    <row r="27" ht="15.0" customHeight="1">
      <c r="A27" s="60">
        <v>3.0</v>
      </c>
      <c r="B27" s="52">
        <v>0.6180555555555556</v>
      </c>
      <c r="C27" s="25"/>
      <c r="D27" s="25" t="s">
        <v>162</v>
      </c>
      <c r="E27" s="28" t="s">
        <v>33</v>
      </c>
      <c r="F27" s="27" t="s">
        <v>22</v>
      </c>
      <c r="G27" s="28" t="s">
        <v>163</v>
      </c>
      <c r="H27" s="28" t="s">
        <v>163</v>
      </c>
      <c r="I27" s="25" t="s">
        <v>36</v>
      </c>
      <c r="J27" s="25" t="s">
        <v>22</v>
      </c>
      <c r="K27" s="66"/>
      <c r="L27" s="67" t="s">
        <v>164</v>
      </c>
      <c r="M27" s="61"/>
      <c r="N27" s="28" t="s">
        <v>133</v>
      </c>
      <c r="O27" s="28" t="s">
        <v>134</v>
      </c>
      <c r="P27" s="28" t="s">
        <v>135</v>
      </c>
      <c r="Q27" s="61"/>
      <c r="S27" s="59" t="str">
        <f t="shared" si="2"/>
        <v>g0v tw hackath60n — 中場短講 — Gitcoin Grants 國際贊助大攻略 ／ Stanley、豆泥 — 記得投票黑客松</v>
      </c>
    </row>
    <row r="28" ht="15.0" customHeight="1">
      <c r="A28" s="28">
        <v>4.0</v>
      </c>
      <c r="B28" s="68">
        <v>0.625</v>
      </c>
      <c r="C28" s="69"/>
      <c r="D28" s="70" t="s">
        <v>165</v>
      </c>
      <c r="E28" s="28" t="s">
        <v>33</v>
      </c>
      <c r="F28" s="27" t="s">
        <v>22</v>
      </c>
      <c r="G28" s="28" t="s">
        <v>166</v>
      </c>
      <c r="H28" s="28" t="s">
        <v>166</v>
      </c>
      <c r="I28" s="35" t="s">
        <v>36</v>
      </c>
      <c r="J28" s="35" t="s">
        <v>22</v>
      </c>
      <c r="K28" s="31"/>
      <c r="L28" s="71" t="s">
        <v>167</v>
      </c>
      <c r="M28" s="28"/>
      <c r="N28" s="28"/>
      <c r="O28" s="31"/>
      <c r="P28" s="31"/>
      <c r="Q28" s="28"/>
      <c r="R28" s="31"/>
      <c r="S28" s="59" t="str">
        <f t="shared" si="2"/>
        <v>g0v tw hackath60n — 中場短講 — 馬路如戰場 - 止血 Stop The Bleed ／ YuTin — 記得投票黑客松</v>
      </c>
    </row>
    <row r="29" ht="15.0" customHeight="1">
      <c r="A29" s="72"/>
      <c r="B29" s="73" t="s">
        <v>168</v>
      </c>
      <c r="C29" s="74"/>
      <c r="D29" s="75" t="s">
        <v>145</v>
      </c>
      <c r="E29" s="76"/>
      <c r="F29" s="74"/>
      <c r="G29" s="77"/>
      <c r="H29" s="77"/>
      <c r="I29" s="74"/>
      <c r="J29" s="72"/>
      <c r="K29" s="72"/>
      <c r="L29" s="72"/>
      <c r="M29" s="72"/>
      <c r="N29" s="72"/>
      <c r="O29" s="72"/>
      <c r="P29" s="72"/>
      <c r="Q29" s="77"/>
      <c r="R29" s="72"/>
      <c r="S29" s="72"/>
    </row>
    <row r="30" ht="15.0" customHeight="1">
      <c r="A30" s="31"/>
      <c r="B30" s="69"/>
      <c r="C30" s="69"/>
      <c r="D30" s="69"/>
      <c r="E30" s="31"/>
      <c r="F30" s="78"/>
      <c r="G30" s="31"/>
      <c r="H30" s="31"/>
      <c r="I30" s="69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 ht="15.0" customHeight="1">
      <c r="A31" s="9" t="s">
        <v>169</v>
      </c>
      <c r="S31" s="55"/>
    </row>
    <row r="32" ht="57.75" customHeight="1">
      <c r="A32" s="79">
        <v>1.0</v>
      </c>
      <c r="B32" s="80">
        <v>0.6666666666666666</v>
      </c>
      <c r="C32" s="25"/>
      <c r="D32" s="25" t="s">
        <v>170</v>
      </c>
      <c r="E32" s="28" t="s">
        <v>33</v>
      </c>
      <c r="F32" s="27"/>
      <c r="G32" s="28" t="s">
        <v>171</v>
      </c>
      <c r="H32" s="28" t="s">
        <v>107</v>
      </c>
      <c r="I32" s="25" t="s">
        <v>36</v>
      </c>
      <c r="J32" s="25" t="s">
        <v>22</v>
      </c>
      <c r="K32" s="29" t="s">
        <v>108</v>
      </c>
      <c r="L32" s="32" t="s">
        <v>109</v>
      </c>
      <c r="M32" s="30" t="s">
        <v>22</v>
      </c>
      <c r="N32" s="28" t="s">
        <v>110</v>
      </c>
      <c r="O32" s="61" t="s">
        <v>111</v>
      </c>
      <c r="P32" s="28" t="s">
        <v>112</v>
      </c>
      <c r="Q32" s="28"/>
      <c r="R32" s="28"/>
      <c r="S32" s="81" t="str">
        <f t="shared" ref="S32:S43" si="3">"g0v tw hackath60n — 成果報告 — "&amp;G32&amp;" ／ "&amp;D32&amp;" — 記得投票黑客松"</f>
        <v>g0v tw hackath60n — 成果報告 — vTaiwan  ／ peter  — 記得投票黑客松</v>
      </c>
    </row>
    <row r="33" ht="15.0" customHeight="1">
      <c r="A33" s="79">
        <v>2.0</v>
      </c>
      <c r="B33" s="82">
        <v>0.6701388888888888</v>
      </c>
      <c r="C33" s="25"/>
      <c r="D33" s="47" t="s">
        <v>172</v>
      </c>
      <c r="E33" s="28" t="s">
        <v>33</v>
      </c>
      <c r="F33" s="27"/>
      <c r="G33" s="28" t="s">
        <v>173</v>
      </c>
      <c r="H33" s="49" t="s">
        <v>174</v>
      </c>
      <c r="I33" s="25" t="s">
        <v>36</v>
      </c>
      <c r="J33" s="28"/>
      <c r="K33" s="32" t="s">
        <v>175</v>
      </c>
      <c r="L33" s="83" t="s">
        <v>176</v>
      </c>
      <c r="M33" s="28"/>
      <c r="N33" s="28"/>
      <c r="O33" s="28"/>
      <c r="P33" s="28"/>
      <c r="Q33" s="28"/>
      <c r="R33" s="31"/>
      <c r="S33" s="81" t="str">
        <f t="shared" si="3"/>
        <v>g0v tw hackath60n — 成果報告 — 民防下午茶 CD T-Time ／ Joey  — 記得投票黑客松</v>
      </c>
    </row>
    <row r="34" ht="15.0" customHeight="1">
      <c r="A34" s="79">
        <v>3.0</v>
      </c>
      <c r="B34" s="82">
        <v>0.6736111111111112</v>
      </c>
      <c r="C34" s="25"/>
      <c r="D34" s="25" t="s">
        <v>177</v>
      </c>
      <c r="E34" s="28" t="s">
        <v>33</v>
      </c>
      <c r="F34" s="27" t="s">
        <v>22</v>
      </c>
      <c r="G34" s="28" t="s">
        <v>178</v>
      </c>
      <c r="H34" s="28" t="s">
        <v>179</v>
      </c>
      <c r="I34" s="25" t="s">
        <v>180</v>
      </c>
      <c r="J34" s="28" t="s">
        <v>77</v>
      </c>
      <c r="K34" s="61"/>
      <c r="L34" s="84" t="s">
        <v>181</v>
      </c>
      <c r="M34" s="28" t="s">
        <v>22</v>
      </c>
      <c r="N34" s="28" t="s">
        <v>182</v>
      </c>
      <c r="O34" s="28" t="s">
        <v>183</v>
      </c>
      <c r="P34" s="29" t="s">
        <v>184</v>
      </c>
      <c r="Q34" s="28"/>
      <c r="R34" s="31"/>
      <c r="S34" s="81" t="str">
        <f t="shared" si="3"/>
        <v>g0v tw hackath60n — 成果報告 — Grapycal ／ eric — 記得投票黑客松</v>
      </c>
    </row>
    <row r="35" ht="15.0" customHeight="1">
      <c r="A35" s="79">
        <v>4.0</v>
      </c>
      <c r="B35" s="85">
        <v>0.6770833333333334</v>
      </c>
      <c r="C35" s="25"/>
      <c r="D35" s="25" t="s">
        <v>170</v>
      </c>
      <c r="E35" s="28" t="s">
        <v>33</v>
      </c>
      <c r="F35" s="27"/>
      <c r="G35" s="61" t="s">
        <v>185</v>
      </c>
      <c r="H35" s="61" t="s">
        <v>186</v>
      </c>
      <c r="I35" s="25" t="s">
        <v>36</v>
      </c>
      <c r="J35" s="61" t="s">
        <v>22</v>
      </c>
      <c r="K35" s="86" t="s">
        <v>187</v>
      </c>
      <c r="L35" s="86" t="s">
        <v>188</v>
      </c>
      <c r="M35" s="28" t="s">
        <v>22</v>
      </c>
      <c r="N35" s="28"/>
      <c r="O35" s="28"/>
      <c r="P35" s="28"/>
      <c r="Q35" s="28"/>
      <c r="R35" s="28"/>
      <c r="S35" s="81" t="str">
        <f t="shared" si="3"/>
        <v>g0v tw hackath60n — 成果報告 — summit  ／ peter  — 記得投票黑客松</v>
      </c>
    </row>
    <row r="36" ht="15.0" customHeight="1">
      <c r="A36" s="79">
        <v>5.0</v>
      </c>
      <c r="B36" s="85">
        <v>0.6805555555555556</v>
      </c>
      <c r="C36" s="25"/>
      <c r="D36" s="25" t="s">
        <v>51</v>
      </c>
      <c r="E36" s="28" t="s">
        <v>33</v>
      </c>
      <c r="F36" s="27" t="s">
        <v>114</v>
      </c>
      <c r="G36" s="87" t="s">
        <v>52</v>
      </c>
      <c r="H36" s="87" t="s">
        <v>52</v>
      </c>
      <c r="I36" s="25" t="s">
        <v>36</v>
      </c>
      <c r="J36" s="28" t="s">
        <v>22</v>
      </c>
      <c r="K36" s="88"/>
      <c r="L36" s="32" t="s">
        <v>189</v>
      </c>
      <c r="M36" s="28" t="s">
        <v>22</v>
      </c>
      <c r="N36" s="28" t="s">
        <v>55</v>
      </c>
      <c r="O36" s="31"/>
      <c r="P36" s="28" t="s">
        <v>190</v>
      </c>
      <c r="Q36" s="28"/>
      <c r="R36" s="28"/>
      <c r="S36" s="81" t="str">
        <f t="shared" si="3"/>
        <v>g0v tw hackath60n — 成果報告 — 開放學生自治社群 ／ Ted — 記得投票黑客松</v>
      </c>
    </row>
    <row r="37" ht="15.0" customHeight="1">
      <c r="A37" s="79">
        <v>6.0</v>
      </c>
      <c r="B37" s="82">
        <v>0.6840277777777778</v>
      </c>
      <c r="C37" s="25"/>
      <c r="D37" s="25" t="s">
        <v>191</v>
      </c>
      <c r="E37" s="28" t="s">
        <v>33</v>
      </c>
      <c r="F37" s="27" t="s">
        <v>22</v>
      </c>
      <c r="G37" s="38" t="s">
        <v>74</v>
      </c>
      <c r="H37" s="38" t="s">
        <v>75</v>
      </c>
      <c r="I37" s="39" t="s">
        <v>76</v>
      </c>
      <c r="J37" s="15" t="s">
        <v>77</v>
      </c>
      <c r="K37" s="40" t="s">
        <v>78</v>
      </c>
      <c r="L37" s="89" t="s">
        <v>78</v>
      </c>
      <c r="M37" s="61"/>
      <c r="N37" s="61"/>
      <c r="O37" s="61"/>
      <c r="P37" s="61"/>
      <c r="Q37" s="28"/>
      <c r="R37" s="31"/>
      <c r="S37" s="81" t="str">
        <f t="shared" si="3"/>
        <v>g0v tw hackath60n — 成果報告 — Cofacts 真的假的 ／ MrOrz — 記得投票黑客松</v>
      </c>
    </row>
    <row r="38" ht="15.0" customHeight="1">
      <c r="A38" s="79">
        <v>7.0</v>
      </c>
      <c r="B38" s="90">
        <v>0.6875</v>
      </c>
      <c r="C38" s="25"/>
      <c r="D38" s="54"/>
      <c r="E38" s="28"/>
      <c r="F38" s="27"/>
      <c r="I38" s="54"/>
      <c r="Q38" s="28"/>
      <c r="R38" s="31"/>
      <c r="S38" s="81" t="str">
        <f t="shared" si="3"/>
        <v>g0v tw hackath60n — 成果報告 —  ／  — 記得投票黑客松</v>
      </c>
    </row>
    <row r="39" ht="15.0" customHeight="1">
      <c r="A39" s="79">
        <v>8.0</v>
      </c>
      <c r="B39" s="82">
        <v>0.6909722222222222</v>
      </c>
      <c r="C39" s="25"/>
      <c r="D39" s="25" t="s">
        <v>192</v>
      </c>
      <c r="E39" s="28" t="s">
        <v>33</v>
      </c>
      <c r="F39" s="27" t="s">
        <v>22</v>
      </c>
      <c r="G39" s="28" t="s">
        <v>193</v>
      </c>
      <c r="H39" s="28" t="s">
        <v>194</v>
      </c>
      <c r="I39" s="25" t="s">
        <v>36</v>
      </c>
      <c r="J39" s="25" t="s">
        <v>22</v>
      </c>
      <c r="K39" s="29" t="s">
        <v>195</v>
      </c>
      <c r="L39" s="32" t="s">
        <v>196</v>
      </c>
      <c r="M39" s="25" t="s">
        <v>22</v>
      </c>
      <c r="N39" s="28" t="s">
        <v>197</v>
      </c>
      <c r="O39" s="61"/>
      <c r="P39" s="28" t="s">
        <v>198</v>
      </c>
      <c r="Q39" s="28"/>
      <c r="R39" s="31"/>
      <c r="S39" s="81" t="str">
        <f t="shared" si="3"/>
        <v>g0v tw hackath60n — 成果報告 — WaytoSafety 隨時隨地知道避難場所位置 ／ chewei — 記得投票黑客松</v>
      </c>
    </row>
    <row r="40" ht="15.0" customHeight="1">
      <c r="A40" s="79">
        <v>9.0</v>
      </c>
      <c r="B40" s="85">
        <v>0.6944444444444444</v>
      </c>
      <c r="C40" s="25"/>
      <c r="D40" s="25" t="s">
        <v>199</v>
      </c>
      <c r="E40" s="28" t="s">
        <v>33</v>
      </c>
      <c r="F40" s="27" t="s">
        <v>22</v>
      </c>
      <c r="G40" s="35" t="s">
        <v>200</v>
      </c>
      <c r="H40" s="91" t="s">
        <v>201</v>
      </c>
      <c r="I40" s="25" t="s">
        <v>36</v>
      </c>
      <c r="J40" s="25" t="s">
        <v>22</v>
      </c>
      <c r="K40" s="29" t="s">
        <v>202</v>
      </c>
      <c r="L40" s="92" t="s">
        <v>203</v>
      </c>
      <c r="M40" s="25" t="s">
        <v>22</v>
      </c>
      <c r="N40" s="93" t="s">
        <v>204</v>
      </c>
      <c r="O40" s="28" t="s">
        <v>205</v>
      </c>
      <c r="P40" s="28" t="s">
        <v>206</v>
      </c>
      <c r="Q40" s="28"/>
      <c r="R40" s="31"/>
      <c r="S40" s="81" t="str">
        <f t="shared" si="3"/>
        <v>g0v tw hackath60n — 成果報告 — EZ'shift  ／ 小K — 記得投票黑客松</v>
      </c>
    </row>
    <row r="41" ht="15.0" customHeight="1">
      <c r="A41" s="79">
        <v>10.0</v>
      </c>
      <c r="B41" s="82">
        <v>0.6979166666666666</v>
      </c>
      <c r="C41" s="25"/>
      <c r="D41" s="25" t="s">
        <v>207</v>
      </c>
      <c r="E41" s="28" t="s">
        <v>33</v>
      </c>
      <c r="F41" s="27" t="s">
        <v>22</v>
      </c>
      <c r="G41" s="46" t="s">
        <v>115</v>
      </c>
      <c r="H41" s="46" t="s">
        <v>116</v>
      </c>
      <c r="I41" s="25" t="s">
        <v>117</v>
      </c>
      <c r="J41" s="25" t="s">
        <v>22</v>
      </c>
      <c r="K41" s="32" t="s">
        <v>208</v>
      </c>
      <c r="L41" s="62" t="s">
        <v>118</v>
      </c>
      <c r="M41" s="25" t="s">
        <v>22</v>
      </c>
      <c r="N41" s="46" t="s">
        <v>119</v>
      </c>
      <c r="O41" s="28" t="s">
        <v>120</v>
      </c>
      <c r="P41" s="28" t="s">
        <v>121</v>
      </c>
      <c r="Q41" s="31"/>
      <c r="R41" s="31"/>
      <c r="S41" s="81" t="str">
        <f t="shared" si="3"/>
        <v>g0v tw hackath60n — 成果報告 — 綠洲計畫LZGH ／ Hsuan — 記得投票黑客松</v>
      </c>
    </row>
    <row r="42" ht="15.0" customHeight="1">
      <c r="A42" s="79">
        <v>11.0</v>
      </c>
      <c r="B42" s="82">
        <v>0.7013888888888888</v>
      </c>
      <c r="C42" s="25"/>
      <c r="D42" s="25" t="s">
        <v>209</v>
      </c>
      <c r="E42" s="28" t="s">
        <v>33</v>
      </c>
      <c r="F42" s="27" t="s">
        <v>22</v>
      </c>
      <c r="G42" s="28" t="s">
        <v>137</v>
      </c>
      <c r="H42" s="28" t="s">
        <v>210</v>
      </c>
      <c r="I42" s="35" t="s">
        <v>139</v>
      </c>
      <c r="J42" s="25" t="s">
        <v>22</v>
      </c>
      <c r="K42" s="29" t="s">
        <v>140</v>
      </c>
      <c r="L42" s="94" t="s">
        <v>211</v>
      </c>
      <c r="M42" s="25" t="s">
        <v>22</v>
      </c>
      <c r="N42" s="25" t="s">
        <v>142</v>
      </c>
      <c r="O42" s="29" t="s">
        <v>212</v>
      </c>
      <c r="P42" s="29" t="s">
        <v>213</v>
      </c>
      <c r="Q42" s="28"/>
      <c r="R42" s="28"/>
      <c r="S42" s="81" t="str">
        <f t="shared" si="3"/>
        <v>g0v tw hackath60n — 成果報告 — 數位韌性松 digital resilience hackathon ／ Sean and Paul — 記得投票黑客松</v>
      </c>
    </row>
    <row r="43" ht="15.0" customHeight="1">
      <c r="A43" s="79">
        <v>12.0</v>
      </c>
      <c r="B43" s="85">
        <v>0.7048611111111112</v>
      </c>
      <c r="C43" s="25"/>
      <c r="D43" s="25" t="s">
        <v>32</v>
      </c>
      <c r="E43" s="28" t="s">
        <v>33</v>
      </c>
      <c r="F43" s="27"/>
      <c r="G43" s="28"/>
      <c r="H43" s="28" t="s">
        <v>214</v>
      </c>
      <c r="I43" s="95"/>
      <c r="J43" s="61"/>
      <c r="K43" s="96" t="s">
        <v>215</v>
      </c>
      <c r="L43" s="97" t="s">
        <v>216</v>
      </c>
      <c r="M43" s="28"/>
      <c r="N43" s="28"/>
      <c r="O43" s="28"/>
      <c r="P43" s="28"/>
      <c r="Q43" s="28"/>
      <c r="R43" s="28"/>
      <c r="S43" s="81" t="str">
        <f t="shared" si="3"/>
        <v>g0v tw hackath60n — 成果報告 —  ／ 揪松團 — 記得投票黑客松</v>
      </c>
    </row>
    <row r="44" ht="15.0" customHeight="1">
      <c r="A44" s="98"/>
      <c r="B44" s="99"/>
      <c r="C44" s="99"/>
      <c r="D44" s="100"/>
      <c r="E44" s="101"/>
      <c r="F44" s="98"/>
      <c r="G44" s="98"/>
      <c r="H44" s="98"/>
      <c r="I44" s="99"/>
      <c r="J44" s="98"/>
      <c r="K44" s="98"/>
      <c r="L44" s="98"/>
      <c r="M44" s="98"/>
      <c r="N44" s="98"/>
      <c r="O44" s="98"/>
      <c r="P44" s="98"/>
      <c r="Q44" s="98"/>
      <c r="R44" s="98"/>
      <c r="S44" s="98"/>
    </row>
    <row r="45" ht="15.0" customHeight="1">
      <c r="A45" s="98"/>
      <c r="B45" s="99"/>
      <c r="C45" s="99"/>
      <c r="D45" s="100"/>
      <c r="E45" s="101"/>
      <c r="F45" s="98"/>
      <c r="G45" s="98"/>
      <c r="H45" s="98"/>
      <c r="I45" s="99"/>
      <c r="J45" s="98"/>
      <c r="K45" s="98"/>
      <c r="L45" s="98"/>
      <c r="M45" s="98"/>
      <c r="N45" s="98"/>
      <c r="O45" s="98"/>
      <c r="P45" s="98"/>
      <c r="Q45" s="98"/>
      <c r="R45" s="98"/>
      <c r="S45" s="98"/>
    </row>
  </sheetData>
  <mergeCells count="6">
    <mergeCell ref="A1:O1"/>
    <mergeCell ref="A3:R3"/>
    <mergeCell ref="A4:O4"/>
    <mergeCell ref="A15:E15"/>
    <mergeCell ref="A23:R23"/>
    <mergeCell ref="A31:R31"/>
  </mergeCells>
  <dataValidations>
    <dataValidation type="list" allowBlank="1" sqref="E5:E14 E16:E20 E25:E28 E32:E43">
      <formula1>"實體,預錄影片"</formula1>
    </dataValidation>
  </dataValidations>
  <hyperlinks>
    <hyperlink r:id="rId2" ref="J2"/>
    <hyperlink r:id="rId3" ref="K5"/>
    <hyperlink r:id="rId4" ref="L5"/>
    <hyperlink r:id="rId5" ref="Q5"/>
    <hyperlink r:id="rId6" ref="R5"/>
    <hyperlink r:id="rId7" ref="K6"/>
    <hyperlink r:id="rId8" ref="K7"/>
    <hyperlink r:id="rId9" ref="L7"/>
    <hyperlink r:id="rId10" ref="Q7"/>
    <hyperlink r:id="rId11" ref="L8"/>
    <hyperlink r:id="rId12" ref="K9"/>
    <hyperlink r:id="rId13" location="slide=id.p" ref="L9"/>
    <hyperlink r:id="rId14" ref="K10"/>
    <hyperlink r:id="rId15" location="/" ref="L10"/>
    <hyperlink r:id="rId16" ref="K11"/>
    <hyperlink r:id="rId17" ref="L11"/>
    <hyperlink r:id="rId18" ref="K12"/>
    <hyperlink r:id="rId19" ref="L12"/>
    <hyperlink r:id="rId20" ref="K13"/>
    <hyperlink r:id="rId21" location="slide=id.p" ref="L13"/>
    <hyperlink r:id="rId22" ref="O13"/>
    <hyperlink r:id="rId23" ref="K14"/>
    <hyperlink r:id="rId24" ref="L14"/>
    <hyperlink r:id="rId25" ref="K16"/>
    <hyperlink r:id="rId26" ref="L16"/>
    <hyperlink r:id="rId27" ref="L17"/>
    <hyperlink r:id="rId28" ref="Q17"/>
    <hyperlink r:id="rId29" ref="L18"/>
    <hyperlink r:id="rId30" location="/" ref="K19"/>
    <hyperlink r:id="rId31" ref="L19"/>
    <hyperlink r:id="rId32" ref="K20"/>
    <hyperlink r:id="rId33" ref="L20"/>
    <hyperlink r:id="rId34" ref="O20"/>
    <hyperlink r:id="rId35" ref="P20"/>
    <hyperlink r:id="rId36" ref="J24"/>
    <hyperlink r:id="rId37" location="slide=id.g2650ad051d4_0_0" ref="L25"/>
    <hyperlink r:id="rId38" location="/4" ref="L27"/>
    <hyperlink r:id="rId39" ref="L28"/>
    <hyperlink r:id="rId40" ref="K32"/>
    <hyperlink r:id="rId41" ref="L32"/>
    <hyperlink r:id="rId42" ref="K33"/>
    <hyperlink r:id="rId43" ref="L33"/>
    <hyperlink r:id="rId44" ref="L34"/>
    <hyperlink r:id="rId45" ref="P34"/>
    <hyperlink r:id="rId46" ref="K35"/>
    <hyperlink r:id="rId47" ref="L35"/>
    <hyperlink r:id="rId48" ref="L36"/>
    <hyperlink r:id="rId49" ref="K37"/>
    <hyperlink r:id="rId50" ref="L37"/>
    <hyperlink r:id="rId51" ref="K39"/>
    <hyperlink r:id="rId52" ref="L39"/>
    <hyperlink r:id="rId53" ref="K40"/>
    <hyperlink r:id="rId54" ref="L40"/>
    <hyperlink r:id="rId55" ref="K41"/>
    <hyperlink r:id="rId56" ref="L41"/>
    <hyperlink r:id="rId57" ref="K42"/>
    <hyperlink r:id="rId58" location="card-t88o70jp4f2ay65" ref="L42"/>
    <hyperlink r:id="rId59" ref="O42"/>
    <hyperlink r:id="rId60" ref="P42"/>
    <hyperlink r:id="rId61" ref="K43"/>
  </hyperlinks>
  <drawing r:id="rId62"/>
  <legacy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5.75"/>
    <col customWidth="1" min="10" max="10" width="3.38"/>
    <col customWidth="1" min="11" max="17" width="9.75"/>
    <col customWidth="1" min="18" max="18" width="12.5"/>
    <col customWidth="1" min="19" max="19" width="4.63"/>
    <col customWidth="1" min="20" max="20" width="13.38"/>
    <col customWidth="1" min="21" max="21" width="5.38"/>
    <col customWidth="1" min="22" max="22" width="12.5"/>
    <col customWidth="1" min="23" max="23" width="9.75"/>
  </cols>
  <sheetData>
    <row r="1" ht="10.5" customHeight="1">
      <c r="B1" s="102">
        <v>106.0</v>
      </c>
      <c r="K1" s="102">
        <v>101.0</v>
      </c>
      <c r="R1" s="103" t="s">
        <v>217</v>
      </c>
    </row>
    <row r="2" ht="39.0" customHeight="1">
      <c r="A2" s="69"/>
      <c r="B2" s="104" t="s">
        <v>218</v>
      </c>
      <c r="C2" s="105"/>
      <c r="D2" s="105"/>
      <c r="E2" s="105"/>
      <c r="F2" s="105"/>
      <c r="G2" s="106"/>
      <c r="H2" s="69"/>
      <c r="I2" s="69"/>
      <c r="J2" s="69"/>
      <c r="K2" s="107" t="s">
        <v>219</v>
      </c>
      <c r="L2" s="105"/>
      <c r="M2" s="105"/>
      <c r="N2" s="105"/>
      <c r="O2" s="105"/>
      <c r="P2" s="69"/>
      <c r="Q2" s="69"/>
      <c r="R2" s="108" t="s">
        <v>220</v>
      </c>
      <c r="S2" s="109"/>
      <c r="T2" s="110" t="s">
        <v>219</v>
      </c>
      <c r="W2" s="69"/>
    </row>
    <row r="3" ht="39.0" customHeight="1">
      <c r="A3" s="111"/>
      <c r="C3" s="61"/>
      <c r="D3" s="112"/>
      <c r="E3" s="113"/>
      <c r="F3" s="113"/>
      <c r="G3" s="114"/>
      <c r="H3" s="69"/>
      <c r="I3" s="69"/>
      <c r="J3" s="111"/>
      <c r="K3" s="113"/>
      <c r="L3" s="112"/>
      <c r="M3" s="115" t="s">
        <v>221</v>
      </c>
      <c r="N3" s="112"/>
      <c r="O3" s="116" t="s">
        <v>222</v>
      </c>
      <c r="P3" s="117"/>
      <c r="Q3" s="69"/>
      <c r="R3" s="112" t="s">
        <v>223</v>
      </c>
      <c r="S3" s="113"/>
      <c r="T3" s="113"/>
      <c r="U3" s="113"/>
      <c r="V3" s="118" t="s">
        <v>42</v>
      </c>
      <c r="W3" s="69"/>
    </row>
    <row r="4" ht="39.0" customHeight="1">
      <c r="A4" s="111"/>
      <c r="B4" s="113"/>
      <c r="C4" s="112"/>
      <c r="D4" s="113"/>
      <c r="E4" s="116" t="s">
        <v>224</v>
      </c>
      <c r="F4" s="113"/>
      <c r="G4" s="119" t="s">
        <v>225</v>
      </c>
      <c r="H4" s="69"/>
      <c r="I4" s="69"/>
      <c r="J4" s="111"/>
      <c r="K4" s="112"/>
      <c r="L4" s="113"/>
      <c r="M4" s="28"/>
      <c r="N4" s="120"/>
      <c r="O4" s="113"/>
      <c r="P4" s="117"/>
      <c r="Q4" s="69"/>
      <c r="R4" s="121" t="s">
        <v>226</v>
      </c>
      <c r="S4" s="113"/>
      <c r="T4" s="112"/>
      <c r="U4" s="120"/>
      <c r="V4" s="122"/>
      <c r="W4" s="69"/>
    </row>
    <row r="5" ht="39.0" customHeight="1">
      <c r="A5" s="111"/>
      <c r="B5" s="113"/>
      <c r="C5" s="116" t="s">
        <v>227</v>
      </c>
      <c r="D5" s="112"/>
      <c r="E5" s="112"/>
      <c r="F5" s="113"/>
      <c r="G5" s="113"/>
      <c r="H5" s="69"/>
      <c r="I5" s="69"/>
      <c r="J5" s="111"/>
      <c r="K5" s="116" t="s">
        <v>228</v>
      </c>
      <c r="M5" s="116" t="s">
        <v>229</v>
      </c>
      <c r="N5" s="113"/>
      <c r="O5" s="112"/>
      <c r="P5" s="117"/>
      <c r="Q5" s="69"/>
      <c r="R5" s="112" t="s">
        <v>230</v>
      </c>
      <c r="S5" s="113"/>
      <c r="T5" s="123" t="s">
        <v>231</v>
      </c>
      <c r="U5" s="113"/>
      <c r="V5" s="124" t="s">
        <v>232</v>
      </c>
      <c r="W5" s="69"/>
    </row>
    <row r="6" ht="39.0" customHeight="1">
      <c r="A6" s="111"/>
      <c r="B6" s="113"/>
      <c r="C6" s="113"/>
      <c r="D6" s="113"/>
      <c r="E6" s="116" t="s">
        <v>233</v>
      </c>
      <c r="F6" s="113"/>
      <c r="G6" s="114"/>
      <c r="H6" s="69"/>
      <c r="I6" s="69"/>
      <c r="J6" s="111"/>
      <c r="K6" s="113"/>
      <c r="L6" s="113"/>
      <c r="M6" s="112"/>
      <c r="N6" s="113"/>
      <c r="O6" s="113"/>
      <c r="P6" s="117"/>
      <c r="Q6" s="69"/>
      <c r="R6" s="112" t="s">
        <v>234</v>
      </c>
      <c r="S6" s="113"/>
      <c r="T6" s="112" t="s">
        <v>235</v>
      </c>
      <c r="U6" s="113"/>
      <c r="V6" s="125"/>
      <c r="W6" s="69"/>
    </row>
    <row r="7" ht="39.0" customHeight="1">
      <c r="A7" s="111"/>
      <c r="B7" s="113"/>
      <c r="C7" s="126"/>
      <c r="D7" s="113"/>
      <c r="E7" s="112"/>
      <c r="F7" s="113"/>
      <c r="G7" s="119" t="s">
        <v>225</v>
      </c>
      <c r="H7" s="69"/>
      <c r="I7" s="69"/>
      <c r="J7" s="111"/>
      <c r="K7" s="116" t="s">
        <v>228</v>
      </c>
      <c r="L7" s="112"/>
      <c r="M7" s="112"/>
      <c r="N7" s="112"/>
      <c r="O7" s="113"/>
      <c r="P7" s="117"/>
      <c r="Q7" s="69"/>
      <c r="R7" s="124" t="s">
        <v>236</v>
      </c>
      <c r="S7" s="127"/>
      <c r="T7" s="128" t="s">
        <v>116</v>
      </c>
      <c r="U7" s="127"/>
      <c r="V7" s="122"/>
      <c r="W7" s="69"/>
    </row>
    <row r="8" ht="39.0" customHeight="1">
      <c r="A8" s="111"/>
      <c r="B8" s="113"/>
      <c r="C8" s="129"/>
      <c r="D8" s="113"/>
      <c r="E8" s="113"/>
      <c r="F8" s="113"/>
      <c r="G8" s="113"/>
      <c r="H8" s="69"/>
      <c r="I8" s="61"/>
      <c r="J8" s="119" t="s">
        <v>225</v>
      </c>
      <c r="K8" s="113"/>
      <c r="L8" s="113"/>
      <c r="M8" s="112"/>
      <c r="N8" s="130"/>
      <c r="O8" s="113"/>
      <c r="P8" s="117"/>
      <c r="Q8" s="69"/>
      <c r="R8" s="131"/>
      <c r="S8" s="131"/>
      <c r="T8" s="132"/>
      <c r="U8" s="131"/>
      <c r="V8" s="131"/>
      <c r="W8" s="69"/>
    </row>
    <row r="9" ht="39.0" customHeight="1">
      <c r="A9" s="111"/>
      <c r="B9" s="113"/>
      <c r="C9" s="113"/>
      <c r="D9" s="113"/>
      <c r="E9" s="113"/>
      <c r="F9" s="113"/>
      <c r="G9" s="113"/>
      <c r="H9" s="69"/>
      <c r="I9" s="69"/>
      <c r="J9" s="111"/>
      <c r="K9" s="113"/>
      <c r="L9" s="113"/>
      <c r="M9" s="113"/>
      <c r="N9" s="113"/>
      <c r="O9" s="114"/>
      <c r="P9" s="117"/>
      <c r="Q9" s="69"/>
      <c r="R9" s="69"/>
      <c r="S9" s="69"/>
      <c r="T9" s="69"/>
      <c r="U9" s="69"/>
      <c r="V9" s="133"/>
      <c r="W9" s="69"/>
    </row>
    <row r="10" ht="39.0" customHeight="1">
      <c r="A10" s="69"/>
      <c r="B10" s="131"/>
      <c r="C10" s="131"/>
      <c r="D10" s="131"/>
      <c r="E10" s="131"/>
      <c r="F10" s="131"/>
      <c r="G10" s="131"/>
      <c r="H10" s="69"/>
      <c r="I10" s="69"/>
      <c r="J10" s="25"/>
      <c r="K10" s="131"/>
      <c r="L10" s="131"/>
      <c r="M10" s="131"/>
      <c r="N10" s="131"/>
      <c r="O10" s="131"/>
      <c r="P10" s="69"/>
      <c r="Q10" s="69"/>
      <c r="R10" s="69"/>
      <c r="S10" s="69"/>
      <c r="T10" s="69"/>
      <c r="U10" s="69"/>
      <c r="V10" s="69"/>
      <c r="W10" s="69"/>
    </row>
    <row r="11" ht="39.0" customHeight="1">
      <c r="A11" s="69"/>
      <c r="B11" s="134" t="s">
        <v>237</v>
      </c>
      <c r="C11" s="69"/>
      <c r="D11" s="135" t="s">
        <v>238</v>
      </c>
      <c r="E11" s="136"/>
      <c r="F11" s="137"/>
      <c r="G11" s="69"/>
      <c r="H11" s="69"/>
      <c r="I11" s="69"/>
      <c r="J11" s="25" t="s">
        <v>239</v>
      </c>
      <c r="K11" s="116" t="s">
        <v>240</v>
      </c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</row>
    <row r="12" ht="39.0" customHeight="1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</row>
    <row r="13" ht="39.0" customHeight="1">
      <c r="A13" s="25" t="s">
        <v>239</v>
      </c>
      <c r="B13" s="116" t="s">
        <v>66</v>
      </c>
      <c r="D13" s="69"/>
      <c r="E13" s="69"/>
      <c r="F13" s="69"/>
      <c r="G13" s="69"/>
      <c r="H13" s="69"/>
      <c r="I13" s="69"/>
      <c r="J13" s="69"/>
      <c r="K13" s="69"/>
      <c r="L13" s="69"/>
      <c r="M13" s="138" t="s">
        <v>241</v>
      </c>
      <c r="N13" s="136"/>
      <c r="O13" s="137"/>
      <c r="P13" s="25" t="s">
        <v>239</v>
      </c>
      <c r="Q13" s="69"/>
      <c r="R13" s="69"/>
      <c r="S13" s="69"/>
      <c r="T13" s="69"/>
      <c r="U13" s="69"/>
      <c r="V13" s="69"/>
      <c r="W13" s="69"/>
    </row>
    <row r="14" ht="39.0" customHeight="1">
      <c r="A14" s="69"/>
      <c r="B14" s="69"/>
      <c r="D14" s="69"/>
      <c r="E14" s="69"/>
      <c r="F14" s="69"/>
      <c r="G14" s="69"/>
      <c r="H14" s="69"/>
      <c r="I14" s="69"/>
      <c r="J14" s="25" t="s">
        <v>239</v>
      </c>
      <c r="K14" s="113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</row>
    <row r="15" ht="39.0" customHeight="1">
      <c r="A15" s="25" t="s">
        <v>239</v>
      </c>
      <c r="B15" s="113"/>
      <c r="D15" s="135" t="s">
        <v>242</v>
      </c>
      <c r="E15" s="136"/>
      <c r="F15" s="137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</row>
    <row r="16" ht="39.0" customHeight="1">
      <c r="A16" s="69"/>
      <c r="B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</row>
    <row r="17" ht="39.0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</row>
  </sheetData>
  <mergeCells count="11">
    <mergeCell ref="B2:F2"/>
    <mergeCell ref="D11:F11"/>
    <mergeCell ref="M13:O13"/>
    <mergeCell ref="D15:F15"/>
    <mergeCell ref="B1:F1"/>
    <mergeCell ref="K1:O1"/>
    <mergeCell ref="R1:V1"/>
    <mergeCell ref="K2:O2"/>
    <mergeCell ref="T2:V2"/>
    <mergeCell ref="V3:V4"/>
    <mergeCell ref="V5:V7"/>
  </mergeCells>
  <conditionalFormatting sqref="T8">
    <cfRule type="notContainsBlanks" dxfId="0" priority="1">
      <formula>LEN(TRIM(T8))&gt;0</formula>
    </cfRule>
  </conditionalFormatting>
  <hyperlinks>
    <hyperlink r:id="rId1" ref="T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0.0"/>
    <col customWidth="1" min="4" max="4" width="17.13"/>
    <col customWidth="1" min="5" max="5" width="34.38"/>
    <col customWidth="1" min="6" max="6" width="27.5"/>
    <col customWidth="1" min="7" max="8" width="22.5"/>
    <col customWidth="1" min="9" max="9" width="73.5"/>
  </cols>
  <sheetData>
    <row r="1" ht="23.25" hidden="1" customHeight="1">
      <c r="A1" s="1"/>
      <c r="H1" s="1"/>
      <c r="I1" s="2"/>
    </row>
    <row r="2" ht="15.0" customHeight="1">
      <c r="A2" s="139" t="s">
        <v>147</v>
      </c>
      <c r="B2" s="139" t="s">
        <v>243</v>
      </c>
      <c r="C2" s="140" t="s">
        <v>244</v>
      </c>
      <c r="D2" s="141" t="s">
        <v>245</v>
      </c>
      <c r="E2" s="139" t="s">
        <v>246</v>
      </c>
      <c r="F2" s="139" t="s">
        <v>247</v>
      </c>
      <c r="G2" s="139" t="s">
        <v>248</v>
      </c>
      <c r="H2" s="141" t="s">
        <v>249</v>
      </c>
      <c r="I2" s="142" t="s">
        <v>250</v>
      </c>
    </row>
    <row r="3" ht="15.0" customHeight="1">
      <c r="A3" s="143" t="s">
        <v>251</v>
      </c>
    </row>
    <row r="4" ht="15.0" customHeight="1">
      <c r="A4" s="144" t="s">
        <v>252</v>
      </c>
    </row>
    <row r="5" ht="15.0" customHeight="1">
      <c r="A5" s="144" t="s">
        <v>253</v>
      </c>
    </row>
    <row r="6" ht="15.0" customHeight="1">
      <c r="A6" s="139" t="s">
        <v>147</v>
      </c>
      <c r="B6" s="139" t="s">
        <v>243</v>
      </c>
      <c r="C6" s="140" t="s">
        <v>244</v>
      </c>
      <c r="D6" s="141" t="s">
        <v>245</v>
      </c>
      <c r="E6" s="139" t="s">
        <v>246</v>
      </c>
      <c r="F6" s="139" t="s">
        <v>247</v>
      </c>
      <c r="G6" s="139" t="s">
        <v>248</v>
      </c>
      <c r="H6" s="141" t="s">
        <v>249</v>
      </c>
      <c r="I6" s="145" t="s">
        <v>250</v>
      </c>
    </row>
    <row r="7" ht="15.0" customHeight="1">
      <c r="A7" s="146"/>
      <c r="B7" s="147">
        <v>0.5625</v>
      </c>
      <c r="C7" s="148" t="s">
        <v>254</v>
      </c>
      <c r="D7" s="149"/>
      <c r="E7" s="150" t="s">
        <v>255</v>
      </c>
      <c r="F7" s="151"/>
      <c r="G7" s="152"/>
      <c r="H7" s="152"/>
      <c r="I7" s="153"/>
    </row>
    <row r="8" ht="15.0" customHeight="1">
      <c r="A8" s="154">
        <v>1.0</v>
      </c>
      <c r="B8" s="155">
        <v>0.5729166666666666</v>
      </c>
      <c r="C8" s="156" t="s">
        <v>256</v>
      </c>
      <c r="D8" s="157" t="s">
        <v>41</v>
      </c>
      <c r="E8" s="158" t="s">
        <v>257</v>
      </c>
      <c r="F8" s="157" t="s">
        <v>258</v>
      </c>
      <c r="G8" s="28" t="s">
        <v>48</v>
      </c>
      <c r="H8" s="159" t="s">
        <v>259</v>
      </c>
      <c r="I8" s="160" t="s">
        <v>260</v>
      </c>
    </row>
    <row r="9" ht="15.0" customHeight="1">
      <c r="A9" s="154">
        <v>2.0</v>
      </c>
      <c r="B9" s="155">
        <v>0.5777777777777777</v>
      </c>
      <c r="C9" s="161" t="s">
        <v>261</v>
      </c>
      <c r="D9" s="157" t="s">
        <v>262</v>
      </c>
      <c r="E9" s="162" t="s">
        <v>263</v>
      </c>
      <c r="F9" s="157" t="s">
        <v>264</v>
      </c>
      <c r="G9" s="159" t="s">
        <v>265</v>
      </c>
      <c r="H9" s="159" t="s">
        <v>266</v>
      </c>
      <c r="I9" s="163" t="s">
        <v>267</v>
      </c>
    </row>
    <row r="10" ht="15.0" customHeight="1">
      <c r="A10" s="154">
        <v>3.0</v>
      </c>
      <c r="B10" s="155">
        <v>0.5826388888888889</v>
      </c>
      <c r="C10" s="161" t="s">
        <v>268</v>
      </c>
      <c r="D10" s="159" t="s">
        <v>269</v>
      </c>
      <c r="E10" s="164" t="s">
        <v>270</v>
      </c>
      <c r="F10" s="159" t="s">
        <v>271</v>
      </c>
      <c r="G10" s="159" t="s">
        <v>272</v>
      </c>
      <c r="H10" s="165" t="s">
        <v>273</v>
      </c>
      <c r="I10" s="166" t="s">
        <v>274</v>
      </c>
    </row>
    <row r="11" ht="15.0" customHeight="1">
      <c r="A11" s="154">
        <v>4.0</v>
      </c>
      <c r="B11" s="155">
        <v>0.5875</v>
      </c>
      <c r="C11" s="161" t="s">
        <v>275</v>
      </c>
      <c r="D11" s="159" t="s">
        <v>276</v>
      </c>
      <c r="E11" s="167" t="s">
        <v>277</v>
      </c>
      <c r="F11" s="157" t="s">
        <v>278</v>
      </c>
      <c r="G11" s="157" t="s">
        <v>279</v>
      </c>
      <c r="H11" s="164" t="s">
        <v>280</v>
      </c>
      <c r="I11" s="166" t="s">
        <v>281</v>
      </c>
    </row>
    <row r="12" ht="15.0" customHeight="1">
      <c r="A12" s="154">
        <v>5.0</v>
      </c>
      <c r="B12" s="155">
        <v>0.5923611111111111</v>
      </c>
      <c r="C12" s="161" t="s">
        <v>235</v>
      </c>
      <c r="D12" s="159" t="s">
        <v>282</v>
      </c>
      <c r="E12" s="162" t="s">
        <v>283</v>
      </c>
      <c r="F12" s="159" t="s">
        <v>284</v>
      </c>
      <c r="G12" s="159" t="s">
        <v>285</v>
      </c>
      <c r="H12" s="159" t="s">
        <v>286</v>
      </c>
      <c r="I12" s="166" t="s">
        <v>287</v>
      </c>
    </row>
    <row r="13" ht="15.0" customHeight="1">
      <c r="A13" s="154">
        <v>6.0</v>
      </c>
      <c r="B13" s="155">
        <v>0.5972222222222222</v>
      </c>
      <c r="C13" s="161" t="s">
        <v>116</v>
      </c>
      <c r="D13" s="159" t="s">
        <v>288</v>
      </c>
      <c r="E13" s="18" t="s">
        <v>289</v>
      </c>
      <c r="F13" s="46" t="s">
        <v>119</v>
      </c>
      <c r="G13" s="159" t="s">
        <v>290</v>
      </c>
      <c r="H13" s="159" t="s">
        <v>291</v>
      </c>
      <c r="I13" s="166" t="s">
        <v>292</v>
      </c>
    </row>
    <row r="14" ht="15.0" customHeight="1">
      <c r="A14" s="154">
        <v>7.0</v>
      </c>
      <c r="B14" s="155">
        <v>0.6020833333333333</v>
      </c>
      <c r="C14" s="156" t="s">
        <v>223</v>
      </c>
      <c r="D14" s="159" t="s">
        <v>293</v>
      </c>
      <c r="E14" s="18" t="s">
        <v>294</v>
      </c>
      <c r="F14" s="159" t="s">
        <v>295</v>
      </c>
      <c r="G14" s="159" t="s">
        <v>296</v>
      </c>
      <c r="H14" s="159" t="s">
        <v>297</v>
      </c>
      <c r="I14" s="166" t="s">
        <v>298</v>
      </c>
    </row>
    <row r="15" ht="15.0" customHeight="1">
      <c r="A15" s="146"/>
      <c r="B15" s="147">
        <v>0.6069444444444444</v>
      </c>
      <c r="C15" s="148" t="s">
        <v>299</v>
      </c>
      <c r="D15" s="152"/>
      <c r="E15" s="152"/>
      <c r="F15" s="152"/>
      <c r="G15" s="146"/>
      <c r="H15" s="146"/>
      <c r="I15" s="148"/>
    </row>
    <row r="16" ht="15.0" customHeight="1">
      <c r="A16" s="154">
        <v>8.0</v>
      </c>
      <c r="B16" s="155">
        <v>0.6180555555555556</v>
      </c>
      <c r="C16" s="168" t="s">
        <v>300</v>
      </c>
      <c r="D16" s="169"/>
      <c r="E16" s="169"/>
      <c r="F16" s="169"/>
      <c r="G16" s="170"/>
      <c r="H16" s="170"/>
      <c r="I16" s="171"/>
    </row>
    <row r="17" ht="15.0" customHeight="1">
      <c r="A17" s="154">
        <v>9.0</v>
      </c>
      <c r="B17" s="155">
        <v>0.6229166666666667</v>
      </c>
      <c r="C17" s="156" t="s">
        <v>226</v>
      </c>
      <c r="D17" s="159" t="s">
        <v>301</v>
      </c>
      <c r="E17" s="162" t="s">
        <v>302</v>
      </c>
      <c r="F17" s="159" t="s">
        <v>303</v>
      </c>
      <c r="G17" s="159" t="s">
        <v>304</v>
      </c>
      <c r="H17" s="159" t="s">
        <v>305</v>
      </c>
      <c r="I17" s="166" t="s">
        <v>306</v>
      </c>
    </row>
    <row r="18" ht="15.0" customHeight="1">
      <c r="A18" s="154">
        <v>10.0</v>
      </c>
      <c r="B18" s="155">
        <v>0.6277777777777778</v>
      </c>
      <c r="C18" s="156" t="s">
        <v>307</v>
      </c>
      <c r="D18" s="159" t="s">
        <v>308</v>
      </c>
      <c r="E18" s="158" t="s">
        <v>309</v>
      </c>
      <c r="F18" s="159" t="s">
        <v>310</v>
      </c>
      <c r="G18" s="159" t="s">
        <v>311</v>
      </c>
      <c r="H18" s="159" t="s">
        <v>312</v>
      </c>
      <c r="I18" s="172" t="s">
        <v>313</v>
      </c>
    </row>
    <row r="19" ht="15.0" customHeight="1">
      <c r="A19" s="15">
        <v>11.0</v>
      </c>
      <c r="B19" s="24">
        <v>0.6326388888888889</v>
      </c>
      <c r="C19" s="173" t="s">
        <v>234</v>
      </c>
      <c r="D19" s="174" t="s">
        <v>314</v>
      </c>
      <c r="E19" s="175" t="s">
        <v>315</v>
      </c>
      <c r="F19" s="174" t="s">
        <v>316</v>
      </c>
      <c r="G19" s="174" t="s">
        <v>317</v>
      </c>
      <c r="H19" s="176" t="s">
        <v>318</v>
      </c>
      <c r="I19" s="177" t="s">
        <v>319</v>
      </c>
    </row>
    <row r="20" ht="15.0" customHeight="1">
      <c r="A20" s="154">
        <v>12.0</v>
      </c>
      <c r="B20" s="155">
        <v>0.6375</v>
      </c>
      <c r="C20" s="156" t="s">
        <v>230</v>
      </c>
      <c r="D20" s="159" t="s">
        <v>320</v>
      </c>
      <c r="E20" s="162" t="s">
        <v>321</v>
      </c>
      <c r="F20" s="159" t="s">
        <v>322</v>
      </c>
      <c r="G20" s="178" t="s">
        <v>323</v>
      </c>
      <c r="H20" s="159" t="s">
        <v>324</v>
      </c>
      <c r="I20" s="179" t="s">
        <v>325</v>
      </c>
    </row>
    <row r="21" ht="15.0" customHeight="1">
      <c r="A21" s="154">
        <v>13.0</v>
      </c>
      <c r="B21" s="155">
        <v>0.6423611111111112</v>
      </c>
      <c r="C21" s="161" t="s">
        <v>326</v>
      </c>
      <c r="D21" s="174" t="s">
        <v>327</v>
      </c>
      <c r="E21" s="18" t="s">
        <v>328</v>
      </c>
      <c r="F21" s="174" t="s">
        <v>329</v>
      </c>
      <c r="G21" s="180" t="s">
        <v>330</v>
      </c>
      <c r="H21" s="180" t="s">
        <v>331</v>
      </c>
      <c r="I21" s="166" t="s">
        <v>332</v>
      </c>
    </row>
    <row r="22" ht="15.0" customHeight="1">
      <c r="A22" s="152"/>
      <c r="B22" s="147">
        <v>0.6527777777777778</v>
      </c>
      <c r="C22" s="148" t="s">
        <v>333</v>
      </c>
      <c r="D22" s="152"/>
      <c r="E22" s="152"/>
      <c r="F22" s="152"/>
      <c r="G22" s="146"/>
      <c r="H22" s="146"/>
      <c r="I22" s="152"/>
    </row>
    <row r="23" ht="15.0" customHeight="1">
      <c r="A23" s="152"/>
      <c r="B23" s="147">
        <v>0.6597222222222222</v>
      </c>
      <c r="C23" s="148" t="s">
        <v>334</v>
      </c>
      <c r="D23" s="152"/>
      <c r="E23" s="152"/>
      <c r="F23" s="152"/>
      <c r="G23" s="146"/>
      <c r="H23" s="146"/>
      <c r="I23" s="152"/>
    </row>
    <row r="24" ht="15.0" customHeight="1">
      <c r="A24" s="152"/>
      <c r="B24" s="147">
        <v>0.6666666666666666</v>
      </c>
      <c r="C24" s="148" t="s">
        <v>335</v>
      </c>
      <c r="D24" s="152"/>
      <c r="E24" s="152"/>
      <c r="F24" s="152"/>
      <c r="G24" s="146"/>
      <c r="H24" s="146"/>
      <c r="I24" s="152"/>
    </row>
    <row r="25" ht="15.0" customHeight="1">
      <c r="A25" s="181"/>
      <c r="B25" s="181"/>
      <c r="C25" s="182"/>
      <c r="D25" s="181"/>
      <c r="E25" s="181"/>
      <c r="F25" s="181"/>
      <c r="G25" s="181"/>
      <c r="H25" s="181"/>
      <c r="I25" s="181"/>
    </row>
    <row r="26" ht="15.0" customHeight="1">
      <c r="A26" s="181"/>
      <c r="B26" s="181"/>
      <c r="C26" s="182"/>
      <c r="D26" s="181"/>
      <c r="E26" s="181"/>
      <c r="F26" s="181"/>
      <c r="G26" s="181"/>
      <c r="H26" s="181"/>
      <c r="I26" s="181"/>
    </row>
  </sheetData>
  <mergeCells count="4">
    <mergeCell ref="A1:G1"/>
    <mergeCell ref="A3:I3"/>
    <mergeCell ref="A4:I4"/>
    <mergeCell ref="A5:I5"/>
  </mergeCells>
  <hyperlinks>
    <hyperlink r:id="rId1" ref="A4"/>
    <hyperlink r:id="rId2" ref="A5"/>
    <hyperlink r:id="rId3" ref="E7"/>
    <hyperlink r:id="rId4" ref="C8"/>
    <hyperlink r:id="rId5" ref="E8"/>
    <hyperlink r:id="rId6" ref="I8"/>
    <hyperlink r:id="rId7" ref="C9"/>
    <hyperlink r:id="rId8" ref="E9"/>
    <hyperlink r:id="rId9" ref="I9"/>
    <hyperlink r:id="rId10" ref="C10"/>
    <hyperlink r:id="rId11" ref="E10"/>
    <hyperlink r:id="rId12" ref="H10"/>
    <hyperlink r:id="rId13" ref="I10"/>
    <hyperlink r:id="rId14" ref="C11"/>
    <hyperlink r:id="rId15" ref="E11"/>
    <hyperlink r:id="rId16" ref="H11"/>
    <hyperlink r:id="rId17" ref="I11"/>
    <hyperlink r:id="rId18" ref="C12"/>
    <hyperlink r:id="rId19" ref="E12"/>
    <hyperlink r:id="rId20" ref="I12"/>
    <hyperlink r:id="rId21" ref="C13"/>
    <hyperlink r:id="rId22" ref="E13"/>
    <hyperlink r:id="rId23" ref="I13"/>
    <hyperlink r:id="rId24" ref="C14"/>
    <hyperlink r:id="rId25" ref="E14"/>
    <hyperlink r:id="rId26" ref="I14"/>
    <hyperlink r:id="rId27" ref="C16"/>
    <hyperlink r:id="rId28" ref="C17"/>
    <hyperlink r:id="rId29" ref="E17"/>
    <hyperlink r:id="rId30" ref="I17"/>
    <hyperlink r:id="rId31" ref="C18"/>
    <hyperlink r:id="rId32" ref="E18"/>
    <hyperlink r:id="rId33" ref="I18"/>
    <hyperlink r:id="rId34" ref="C19"/>
    <hyperlink r:id="rId35" ref="E19"/>
    <hyperlink r:id="rId36" ref="H19"/>
    <hyperlink r:id="rId37" ref="I19"/>
    <hyperlink r:id="rId38" ref="C20"/>
    <hyperlink r:id="rId39" ref="E20"/>
    <hyperlink r:id="rId40" ref="I20"/>
    <hyperlink r:id="rId41" ref="C21"/>
    <hyperlink r:id="rId42" ref="E21"/>
    <hyperlink r:id="rId43" ref="I21"/>
  </hyperlinks>
  <drawing r:id="rId44"/>
</worksheet>
</file>