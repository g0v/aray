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  <sheet state="visible" name="Sheet6" sheetId="3" r:id="rId5"/>
    <sheet state="visible" name="資金池投票連結 Voting Links" sheetId="4" r:id="rId6"/>
    <sheet state="visible" name="資金池投票結果" sheetId="5" r:id="rId7"/>
    <sheet state="visible" name="活動開場簡報" sheetId="6" r:id="rId8"/>
  </sheets>
  <definedNames/>
  <calcPr/>
</workbook>
</file>

<file path=xl/sharedStrings.xml><?xml version="1.0" encoding="utf-8"?>
<sst xmlns="http://schemas.openxmlformats.org/spreadsheetml/2006/main" count="539" uniqueCount="360">
  <si>
    <t>發表時間
Time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</si>
  <si>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</si>
  <si>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</si>
  <si>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</si>
  <si>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</si>
  <si>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</si>
  <si>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</si>
  <si>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r>
      <rPr>
        <b/>
        <sz val="10.0"/>
      </rPr>
      <t xml:space="preserve">是否申請資金池？💰（Y/N）
</t>
    </r>
    <r>
      <rPr>
        <b/>
        <color rgb="FF1155CC"/>
        <sz val="10.0"/>
        <u/>
      </rPr>
      <t>點我看資金池計畫說明文件</t>
    </r>
  </si>
  <si>
    <t>資金池輔佐證明文件連結
（核心成員、明確活動、聯絡方式）</t>
  </si>
  <si>
    <r>
      <rPr>
        <b/>
        <sz val="9.0"/>
      </rPr>
      <t xml:space="preserve">g0v Podcast
</t>
    </r>
    <r>
      <rPr>
        <b/>
        <color rgb="FF1155CC"/>
        <sz val="9.0"/>
      </rPr>
      <t>松後推坑電台</t>
    </r>
    <r>
      <rPr>
        <b/>
        <sz val="9.0"/>
      </rPr>
      <t xml:space="preserve">
受訪意願? (Y/?)</t>
    </r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</si>
  <si>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</si>
  <si>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</si>
  <si>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</si>
  <si>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</si>
  <si>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</si>
  <si>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</si>
  <si>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</si>
  <si>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</si>
  <si>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youtube title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</si>
  <si>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</si>
  <si>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</si>
  <si>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>Jas/ Yvonne</t>
  </si>
  <si>
    <t>實體</t>
  </si>
  <si>
    <t>y</t>
  </si>
  <si>
    <t>拉人更輕鬆</t>
  </si>
  <si>
    <t>資金池計畫說明</t>
  </si>
  <si>
    <t>cc0</t>
  </si>
  <si>
    <t>-</t>
  </si>
  <si>
    <t>Y</t>
  </si>
  <si>
    <t>https://docs.google.com/document/d/1ZyUD7BF0z15pLaSEP0hHez1d9T95LlVNNVXdMhWioEY/edit?tab=t.0#heading=h.4k0q8f2japog</t>
  </si>
  <si>
    <t>https://www.canva.com/design/DAGXK1qtCWQ/LDLOjKKBt9OvxMqygXR4gA/edit?utm_content=DAGXK1qtCWQ&amp;utm_campaign=designshare&amp;utm_medium=link2&amp;utm_source=sharebutton</t>
  </si>
  <si>
    <t>平方投票、資金池、青世代專案</t>
  </si>
  <si>
    <t>g0v slack: #拉人更輕鬆 , @yvonne @Jasmine Ta @Vivian</t>
  </si>
  <si>
    <t>ichieh</t>
  </si>
  <si>
    <t>GAI Conf</t>
  </si>
  <si>
    <t>麻瓜來用AI寫程式吧 code with ai</t>
  </si>
  <si>
    <t>n</t>
  </si>
  <si>
    <t>https://hackmd.io/@ejc/ryleW7cZkg</t>
  </si>
  <si>
    <t>https://docs.google.com/presentation/d/1cZ3ClEBLaFOrFtMNSiNK7knoSOtg3oCDlNNCGoa-YE8/edit?usp=sharing</t>
  </si>
  <si>
    <t>Stanley</t>
  </si>
  <si>
    <t>Shoutout</t>
  </si>
  <si>
    <t>社群參與、貢獻紀錄匯集</t>
  </si>
  <si>
    <t xml:space="preserve">Shoutout 感謝大聲公 </t>
  </si>
  <si>
    <r>
      <rPr>
        <color rgb="FF1155CC"/>
        <sz val="11.0"/>
        <u/>
      </rPr>
      <t>報告用簡報</t>
    </r>
    <r>
      <rPr>
        <color rgb="FF1155CC"/>
        <sz val="11.0"/>
        <u/>
      </rPr>
      <t xml:space="preserve">
</t>
    </r>
    <r>
      <rPr>
        <color rgb="FF1155CC"/>
        <sz val="11.0"/>
        <u/>
      </rPr>
      <t>目前成果說明</t>
    </r>
  </si>
  <si>
    <t>影響力紀錄、激勵機制、社群維運</t>
  </si>
  <si>
    <t>後端開發人員</t>
  </si>
  <si>
    <t xml:space="preserve">g0v slack channel: da0-shoutout
</t>
  </si>
  <si>
    <t>irvin</t>
  </si>
  <si>
    <t>common voice 族語錄音計畫進度 / 繁體中文 CC0 語料庫</t>
  </si>
  <si>
    <t>https://hackmd.io/@moztw/cv-g0v-64</t>
  </si>
  <si>
    <r>
      <rPr>
        <color rgb="FF000000"/>
        <sz val="11.0"/>
      </rPr>
      <t xml:space="preserve">簡報 - </t>
    </r>
    <r>
      <rPr>
        <color rgb="FF1155CC"/>
        <sz val="11.0"/>
        <u/>
      </rPr>
      <t>https://hackmd.io/@moztw/cv-slide</t>
    </r>
    <r>
      <rPr>
        <color rgb="FF000000"/>
        <sz val="11.0"/>
      </rPr>
      <t xml:space="preserve">
錄音網站 - </t>
    </r>
    <r>
      <rPr>
        <color rgb="FF1155CC"/>
        <sz val="11.0"/>
        <u/>
      </rPr>
      <t>https://commonvoice.mozilla.org/</t>
    </r>
    <r>
      <rPr>
        <color rgb="FF000000"/>
        <sz val="11.0"/>
      </rPr>
      <t xml:space="preserve">
語料搜集 - </t>
    </r>
    <r>
      <rPr>
        <color rgb="FF1155CC"/>
        <sz val="11.0"/>
        <u/>
      </rPr>
      <t>https://github.com/moztw/cc0-sentences/tree/master</t>
    </r>
  </si>
  <si>
    <t>國台語族語、語料、錄音</t>
  </si>
  <si>
    <t>會說寫國 / 台語 / 族語</t>
  </si>
  <si>
    <r>
      <rPr/>
      <t xml:space="preserve">g0v slack @irvin
line group - </t>
    </r>
    <r>
      <rPr>
        <color rgb="FF1155CC"/>
        <u/>
      </rPr>
      <t xml:space="preserve">cvline.moztw.space
</t>
    </r>
    <r>
      <rPr/>
      <t xml:space="preserve">telegram - </t>
    </r>
    <r>
      <rPr>
        <color rgb="FF1155CC"/>
        <u/>
      </rPr>
      <t>t.me/moztwCV</t>
    </r>
  </si>
  <si>
    <t>Paul</t>
  </si>
  <si>
    <t>digiresithon</t>
  </si>
  <si>
    <t>Meshtastic 推廣及應用開發</t>
  </si>
  <si>
    <t>GPL v3, 
CC-BY-SA</t>
  </si>
  <si>
    <t>s.g0v.tw/resi</t>
  </si>
  <si>
    <t>https://gamma.app/public/-k2mshk2q40b53ck</t>
  </si>
  <si>
    <t xml:space="preserve">Annie </t>
  </si>
  <si>
    <t>Linux Odyssey</t>
  </si>
  <si>
    <t>GPL-3.0</t>
  </si>
  <si>
    <t>第64次黃金比例黑客松資金池提案申請證明</t>
  </si>
  <si>
    <t>Linux Odyssey : 從使用、教學、到分享</t>
  </si>
  <si>
    <t>https://www.canva.com/design/DAGXHjH-hl8/k24vcf7BTTTRL-NyBIeIDw/edit?utm_content=DAGXHjH-hl8&amp;utm_campaign=designshare&amp;utm_medium=link2&amp;utm_source=sharebutton</t>
  </si>
  <si>
    <t>開源、程式教育、社群參與</t>
  </si>
  <si>
    <t>資安、法律諮詢、教育工作者、設計人員</t>
  </si>
  <si>
    <t>g0v slack #linux-odyssey
g0v slack @Annie Huang</t>
  </si>
  <si>
    <t>https://www.youtube.com/watch?v=XzvfmUf1QP8</t>
  </si>
  <si>
    <t>chewei</t>
  </si>
  <si>
    <t>Collage</t>
  </si>
  <si>
    <t>Collage 空間改造願景創作工具應用於中正社區大學空間改造工作坊</t>
  </si>
  <si>
    <t>GNU GPL V3</t>
  </si>
  <si>
    <t>https://g0v.hackmd.io/Fyg5EQRJQUiCNVgD0Rk41Q</t>
  </si>
  <si>
    <t>https://g0v.hackmd.io/@chewei/joinplus/https%3A%2F%2Fg0v.hackmd.io%2F8uZcrlPGQmOJAzweskG9Og%3Fview</t>
  </si>
  <si>
    <t>https://docs.google.com/presentation/d/1uilk4kIXIOhkbFiCUGSW690GvlJkI4hIwOsVlV1xE8o/edit?usp=sharing</t>
  </si>
  <si>
    <t>空間改造願景工具網頁、拼貼、</t>
  </si>
  <si>
    <t>前端、工具推廣者</t>
  </si>
  <si>
    <t>g0v slack #joinplus-關注公民參與的數位工具
g0v slack @chewei</t>
  </si>
  <si>
    <t>aokman</t>
  </si>
  <si>
    <t>AgriPuzzle</t>
  </si>
  <si>
    <t>農業松</t>
  </si>
  <si>
    <t>CC-BY</t>
  </si>
  <si>
    <t>https://docs.google.com/presentation/d/1EnMFBHt-VRcHKJlW0_ItAaUAAdudZj2_cL4XkL0jH40/edit?usp=drive_link</t>
  </si>
  <si>
    <t>農業、嗲塔、坑海</t>
  </si>
  <si>
    <t>前後端、TXT</t>
  </si>
  <si>
    <t>g0v slack @a0kman</t>
  </si>
  <si>
    <t>SeanGau, Jas</t>
  </si>
  <si>
    <t>拉人更輕鬆／基礎松</t>
  </si>
  <si>
    <t>g0v.tw</t>
  </si>
  <si>
    <t>N</t>
  </si>
  <si>
    <t>https://g0v.hackmd.io/-tK5suPVTgGvhvqZb80DiQ</t>
  </si>
  <si>
    <t>https://g0v-landing-page.pages.dev/</t>
  </si>
  <si>
    <t>基礎建設、g0v 官網、青世代專案</t>
  </si>
  <si>
    <t>沒有人</t>
  </si>
  <si>
    <t>g0v slack #拉人更輕鬆
g0v slack @seangau</t>
  </si>
  <si>
    <t xml:space="preserve">peter </t>
  </si>
  <si>
    <t xml:space="preserve">vtaiwan </t>
  </si>
  <si>
    <t>一起來聊！議題小聚</t>
  </si>
  <si>
    <t xml:space="preserve">CC-BY-SA </t>
  </si>
  <si>
    <t>https://g0v.hackmd.io/@tmonk/rJHYWR9S4/%2FGUe0KXMsQBC-6KTIUPBVnA%3Fboth?type=book</t>
  </si>
  <si>
    <t>https://docs.google.com/presentation/d/1YuxAkcJbYKLMKDCNf-GdeOLHDJ3fyavJShGE08RXIko/edit?usp=sharing</t>
  </si>
  <si>
    <t>議題小聚、聊天、整理資料</t>
  </si>
  <si>
    <t>yuyu1015</t>
  </si>
  <si>
    <t>DPIP防災資訊整合平台</t>
  </si>
  <si>
    <t>DPIP 專案簡介
討論營利模式及天氣預報資料來源</t>
  </si>
  <si>
    <t>AGPL-3.0</t>
  </si>
  <si>
    <t>https://exptech.com.tw/dpip
https://github.com/ExpTechTW/DPIP
伺服器狀態</t>
  </si>
  <si>
    <t>程式開發</t>
  </si>
  <si>
    <t>全端</t>
  </si>
  <si>
    <t>bil</t>
  </si>
  <si>
    <t>Cofacts 真的假的 &amp; Open165</t>
  </si>
  <si>
    <t>Cofacts 在旁邊修issue 跟查核假資訊／讓 165 反詐資訊在搜尋引擎上打敗二次詐騙</t>
  </si>
  <si>
    <t>MIT, 
CC-BY-SA</t>
  </si>
  <si>
    <t>https://cofacts.tw/hack</t>
  </si>
  <si>
    <t>https://docs.google.com/presentation/d/121j3tU3ed5dAAquwJgTIq5MC6iI-t1oIXsDzQeJj96s/edit#slide=id.g28caf866bb2_1_0</t>
  </si>
  <si>
    <t>程式開發、事實查核、搜尋引擎最佳化</t>
  </si>
  <si>
    <t>會 Google 找資料的人
會 NodeJS / ReactJS 的人
SEO 高手、UI / UX Designer</t>
  </si>
  <si>
    <t>g0v slack #cofacts @mrorz @bil</t>
  </si>
  <si>
    <t>Luphia</t>
  </si>
  <si>
    <t>Top-Ten-LiFaYuan</t>
  </si>
  <si>
    <t>立法院十大好球－讓 AI 用三分鐘*告訴你立法院最近在玩什麼</t>
  </si>
  <si>
    <t>https://drive.google.com/drive/folders/10YRWxusb6kNZS4fLr1EWyrk-z0ce1sda</t>
  </si>
  <si>
    <t>https://docs.google.com/presentation/d/111FEJie3-awSa_NX01fF0p_1IDUycxnHqLn2M2iF7D8/</t>
  </si>
  <si>
    <t>AI、炸裂、立法院</t>
  </si>
  <si>
    <t>媒體人、設計人、詠唱師、剪輯師、H100</t>
  </si>
  <si>
    <t>g0v slack @Luphia</t>
  </si>
  <si>
    <t>https://www.youtube.com/@%E7%AB%8B%E6%B3%95%E9%99%A2%E5%8D%81%E5%A4%A7%E5%A5%BD%E7%90%83</t>
  </si>
  <si>
    <t>slc</t>
  </si>
  <si>
    <t>HRJust</t>
  </si>
  <si>
    <t>數位防疫怎麼hack？公民科技社群的回顧</t>
  </si>
  <si>
    <t>cc-by / cc0</t>
  </si>
  <si>
    <t>https://docs.google.com/presentation/d/1_VaCZYEila6iEkjbauET3xJ3BJ2WLlZCNbym82wZnf4/edit#slide=id.g3171f6dd034_0_577</t>
  </si>
  <si>
    <t>數位防疫、問卷、成效評估</t>
  </si>
  <si>
    <t>所有對數位防疫有經驗、意見、想法的人</t>
  </si>
  <si>
    <t>g0v slack @SLC</t>
  </si>
  <si>
    <t>Kapibara</t>
  </si>
  <si>
    <t>OpenDiplomacy</t>
  </si>
  <si>
    <t>外交可以開源嗎？用公民科技讓外交變得更開放、更民主</t>
  </si>
  <si>
    <t xml:space="preserve">Y </t>
  </si>
  <si>
    <t>外交可以開源嗎? - HackMD</t>
  </si>
  <si>
    <t>https://docs.google.com/presentation/d/1hRDkrRWtU5XILRkbrBU4o4_UqR9XwHnw/edit?usp=drivesdk&amp;ouid=107338149296176988472&amp;rtpof=true&amp;sd=true</t>
  </si>
  <si>
    <t>國際友誼、人權、開放資料</t>
  </si>
  <si>
    <t>感興趣的人、前後端開發人員</t>
  </si>
  <si>
    <t>g0v @Kapibara</t>
  </si>
  <si>
    <t>== 截止 ==</t>
  </si>
  <si>
    <t>13:10-13:40【新手導覽團 Newcomer Tour Group】
帶領大家遊逛當天的各桌專案 ~  Guiding everyone to explore the various project  ~</t>
  </si>
  <si>
    <t>14:30【短講 Talk】
每個 present 8mins，分享議題、專案、研究、技術皆可。</t>
  </si>
  <si>
    <t>順序</t>
  </si>
  <si>
    <t>發表時間（自填）</t>
  </si>
  <si>
    <t>錄影以 CC-BY 釋出?</t>
  </si>
  <si>
    <r>
      <rPr>
        <b/>
        <sz val="10.0"/>
      </rPr>
      <t xml:space="preserve">是否授權上架 </t>
    </r>
    <r>
      <rPr>
        <b/>
        <color rgb="FF1155CC"/>
        <sz val="10.0"/>
        <u/>
      </rPr>
      <t>大松實況電台</t>
    </r>
    <r>
      <rPr>
        <b/>
        <sz val="10.0"/>
      </rPr>
      <t>?(Y/?)</t>
    </r>
  </si>
  <si>
    <t>相關連結</t>
  </si>
  <si>
    <t>三個關鍵字</t>
  </si>
  <si>
    <t>專案徵人</t>
  </si>
  <si>
    <t xml:space="preserve">Peter </t>
  </si>
  <si>
    <t>Code for Japan Summit 2024 參觀小心得</t>
  </si>
  <si>
    <t>cc:by</t>
  </si>
  <si>
    <t xml:space="preserve">N </t>
  </si>
  <si>
    <t>https://app.heptabase.com/w/1a89674ae446f265a7fe3fc08852951c34770b50fdd22505b6ff3d3e785e9e2d</t>
  </si>
  <si>
    <t>https://docs.google.com/presentation/d/1tZPwaWJhtop5CPJOhulOT-ZC0qI-QR3kD97QM38Tm3w/edit?usp=sharing</t>
  </si>
  <si>
    <t>Jas</t>
  </si>
  <si>
    <t>資金池平方投票</t>
  </si>
  <si>
    <t>open講！</t>
  </si>
  <si>
    <t>https://g0v.hackmd.io/@irvin/open-talk</t>
  </si>
  <si>
    <t>open,source</t>
  </si>
  <si>
    <t>could meshtastic adpot more reliable data transmission mechanisms to fight against packet loss and protect data's integrity</t>
  </si>
  <si>
    <t>cc-by-sa 4.0</t>
  </si>
  <si>
    <t>https://gamma.app/docs/nov-23-Security-and-privacy-concerns-with-the-widespread-implemen-ynm2biiyx28upup
https://hackmd.io/@wkaJLVJTTwCbncUM7qZK_A/SJCRJx_MA</t>
  </si>
  <si>
    <t>本期開放4位8分鐘</t>
  </si>
  <si>
    <t>16:00【成果發表 Present Project】 
每個 present 5mins，可視 project 數量和剩餘時間調整</t>
  </si>
  <si>
    <t>揪松團</t>
  </si>
  <si>
    <t>未來活動宣傳「g0v國會松、2025二月大松」&amp; 歡迎大家填寫影響力問卷</t>
  </si>
  <si>
    <t>https://docs.google.com/presentation/d/1dfBB8RXHBfA52Y_QYMcoRu2HpHEEzLoEVcPnLkzFZMg/edit#slide=id.g3167d3219d9_0_0</t>
  </si>
  <si>
    <t>Ronny</t>
  </si>
  <si>
    <t>國會松 &amp; 國會相關的 …</t>
  </si>
  <si>
    <t>CC-by</t>
  </si>
  <si>
    <t xml:space="preserve">國會松 &amp; 國會相關的 … @ </t>
  </si>
  <si>
    <t>jas/yvonne</t>
  </si>
  <si>
    <t>資金池投票頒獎</t>
  </si>
  <si>
    <t>cc-by</t>
  </si>
  <si>
    <t>https://www.canva.com/design/DAGXQalo7zI/xGw_-NYp45s_qdFS4ltZMg/edit?utm_content=DAGXQalo7zI&amp;utm_campaign=designshare&amp;utm_medium=link2&amp;utm_source=sharebutton</t>
  </si>
  <si>
    <t>碳匯城鄉</t>
  </si>
  <si>
    <t>臺北市文山區碳收支地圖工作方法 / 淨零議題資料蒐集</t>
  </si>
  <si>
    <t>https://g0v.hackmd.io/@chewei/carbon-uptake/https%3A%2F%2Fg0v.hackmd.io%2FM369znrhQHWqONzLjOCj8g%3Fview</t>
  </si>
  <si>
    <t>淨零自治條例,GIS,政策形成</t>
  </si>
  <si>
    <t>GIS,</t>
  </si>
  <si>
    <t>g0v slack @chewei
g0v slack #poponfire</t>
  </si>
  <si>
    <t xml:space="preserve">Stanley </t>
  </si>
  <si>
    <t>FAB DAO 綠沙發小組</t>
  </si>
  <si>
    <t>公益專案到區塊鏈世界拉贊助</t>
  </si>
  <si>
    <t>https://hackmd.io/@greensofa?utm_source=preview-mode&amp;utm_medium=rec</t>
  </si>
  <si>
    <t>https://docs.google.com/presentation/d/10lTA97UvXMgZ2Oil2G5gfzifnpmYTdAWI1gUq3eEOHk/edit#slide=id.g318fd22434b_0_40</t>
  </si>
  <si>
    <t>在地公益，鏈上募款，國際聯結</t>
  </si>
  <si>
    <t>對鏈上國際公益募款有興趣的朋友</t>
  </si>
  <si>
    <t>https://discord.com/invite/U6S3CQwX2z?fbclid=IwZXh0bgNhZW0CMTEAAR064ZfisBCKmqe8sXiHnGDjsQj6ALlYcsS8hqessAOAecjni_r6Q5hnci0_aem_rcWKpymrrhUozNMsqJRq-A</t>
  </si>
  <si>
    <t>立法院十大好球－讓 AI 用三分鐘告訴你立法院最近在玩什麼</t>
  </si>
  <si>
    <t>https://www.youtube.com/shorts/DPAWlM8NcxE</t>
  </si>
  <si>
    <t>MrOrz &amp; Billion</t>
  </si>
  <si>
    <t>Cofacts</t>
  </si>
  <si>
    <t>Cofacts &amp; DWeb</t>
  </si>
  <si>
    <t>RSChiang</t>
  </si>
  <si>
    <t>D2WG</t>
  </si>
  <si>
    <t>g0v 數位民主研究案</t>
  </si>
  <si>
    <t>CC BY</t>
  </si>
  <si>
    <t>https://g0v.hackmd.io/@d2wg/book/</t>
  </si>
  <si>
    <t>2024-11-23 g0v hackath64n D2WG.pdf</t>
  </si>
  <si>
    <t>數位民主、公私協力、面海松</t>
  </si>
  <si>
    <t>g0v slack @rschiang</t>
  </si>
  <si>
    <t>Common Voice</t>
  </si>
  <si>
    <t>族語錄音專案</t>
  </si>
  <si>
    <t>CC0</t>
  </si>
  <si>
    <r>
      <rPr/>
      <t xml:space="preserve">g0v slack @irvin
line group - </t>
    </r>
    <r>
      <rPr>
        <color rgb="FF1155CC"/>
        <u/>
      </rPr>
      <t xml:space="preserve">cvline.moztw.space
</t>
    </r>
    <r>
      <rPr/>
      <t xml:space="preserve">telegram - </t>
    </r>
    <r>
      <rPr>
        <color rgb="FF1155CC"/>
        <u/>
      </rPr>
      <t>t.me/moztwCV</t>
    </r>
  </si>
  <si>
    <t>放輕松</t>
  </si>
  <si>
    <t>放輕松 &amp; g0v 行事曆</t>
  </si>
  <si>
    <t>https://g0v.tw/event/</t>
  </si>
  <si>
    <t>Joanne</t>
  </si>
  <si>
    <t>Groundi 熱情專案</t>
  </si>
  <si>
    <t>媒合社區任務，陪伴高中生從零到一開啟熱情專案</t>
  </si>
  <si>
    <t>教育、社會設計、平台開發</t>
  </si>
  <si>
    <t>前端工程 / UI 設計 / 行銷</t>
  </si>
  <si>
    <t>https://www.instagram.com/return_inn</t>
  </si>
  <si>
    <t>https://www.youtube.com/watch?v=Li4KNe6M2-4&amp;t=47s</t>
  </si>
  <si>
    <t>方桌區</t>
  </si>
  <si>
    <t>開場場地 舞台</t>
  </si>
  <si>
    <t>食物區
PIZZA 
外燴</t>
  </si>
  <si>
    <t>白板</t>
  </si>
  <si>
    <t>基礎松
資金池</t>
  </si>
  <si>
    <t>Collage 空間改造願景創作工具</t>
  </si>
  <si>
    <t xml:space="preserve"> 門
Entry</t>
  </si>
  <si>
    <t>數位防疫回顧問卷+成效評估</t>
  </si>
  <si>
    <t>報到區</t>
  </si>
  <si>
    <t>飲料區
早餐</t>
  </si>
  <si>
    <t>開放外交</t>
  </si>
  <si>
    <t>Cofacts 真的假的</t>
  </si>
  <si>
    <t>立法院十大好球</t>
  </si>
  <si>
    <t>vTaiwan</t>
  </si>
  <si>
    <t>GAI</t>
  </si>
  <si>
    <t>注意事項：請大家選擇一個投票連結，留下你的暱稱。複製連接後把連結從本試算表刪去，避免被他人使用。Note: Please choose a voting link and leave your nickname. Delete the link from this spreadsheet after copying it to avoid it being used by others.</t>
  </si>
  <si>
    <t>https://quadraticvote.radicalxchange.org/event?id=55963d66-12f9-44b5-80c5-c4fd2caac031 (Dashboard)</t>
  </si>
  <si>
    <t>編號</t>
  </si>
  <si>
    <t>暱稱</t>
  </si>
  <si>
    <t>投票連結</t>
  </si>
  <si>
    <t>範例</t>
  </si>
  <si>
    <t>abc</t>
  </si>
  <si>
    <t>x 每一位投票後請刪除連結</t>
  </si>
  <si>
    <t>Amos</t>
  </si>
  <si>
    <t>https://quadraticvote.radicalxchange.org/vote?user=766ebd06-1744-4437-809e-9315519fa70d</t>
  </si>
  <si>
    <t>Irvin</t>
  </si>
  <si>
    <t>x</t>
  </si>
  <si>
    <t>投票時間 Voting Time：11:30-15:30</t>
  </si>
  <si>
    <t>yvonne</t>
  </si>
  <si>
    <t>安妮</t>
  </si>
  <si>
    <t>https://quadraticvote.radicalxchange.org/vote?user=3d7eec32-2577-46c6-9166-ee21a35d6336</t>
  </si>
  <si>
    <t>David</t>
  </si>
  <si>
    <t>貝吉樂</t>
  </si>
  <si>
    <t>Aimu</t>
  </si>
  <si>
    <t>YC</t>
  </si>
  <si>
    <t>seangau</t>
  </si>
  <si>
    <t>Dong</t>
  </si>
  <si>
    <t>Lang</t>
  </si>
  <si>
    <t>Peter</t>
  </si>
  <si>
    <t>https://quadraticvote.radicalxchange.org/vote?user=e21951d8-8af8-4450-b51c-6fc1ba4af794</t>
  </si>
  <si>
    <t>Melulu</t>
  </si>
  <si>
    <t>https://quadraticvote.radicalxchange.org/vote?user=2e641d99-5e5f-486e-9930-a540aaed46fe</t>
  </si>
  <si>
    <t>Arnoldsky</t>
  </si>
  <si>
    <t>Winston</t>
  </si>
  <si>
    <t>https://quadraticvote.radicalxchange.org/vote?user=a9aafea7-b13f-4d26-97ea-d71da6673505</t>
  </si>
  <si>
    <t>Eric</t>
  </si>
  <si>
    <t>https://quadraticvote.radicalxchange.org/vote?user=d483bde2-7bc7-4075-a2a4-57f37a502c70</t>
  </si>
  <si>
    <t>RS</t>
  </si>
  <si>
    <t>Ku</t>
  </si>
  <si>
    <t>https://quadraticvote.radicalxchange.org/vote?user=f37e5b38-d21e-4882-8b4c-8fc03689ef12</t>
  </si>
  <si>
    <t>Annie</t>
  </si>
  <si>
    <t>X</t>
  </si>
  <si>
    <t>https://quadraticvote.radicalxchange.org/vote?user=2374da6b-4332-42aa-a632-1a02b4cd780b</t>
  </si>
  <si>
    <t>https://quadraticvote.radicalxchange.org/vote?user=3485e934-10b9-4ff4-b3b7-96bdc54f34b6</t>
  </si>
  <si>
    <t>https://quadraticvote.radicalxchange.org/vote?user=b15c04f2-3b4c-4726-b4d7-706f7f9f70a8</t>
  </si>
  <si>
    <t>yujen</t>
  </si>
  <si>
    <t>https://quadraticvote.radicalxchange.org/vote?user=547d6035-15f8-418a-85a7-ad33a3a4b84f</t>
  </si>
  <si>
    <t>https://quadraticvote.radicalxchange.org/vote?user=d90ee625-8716-4520-81d6-7129bd392b8f</t>
  </si>
  <si>
    <t>orZ</t>
  </si>
  <si>
    <t>https://quadraticvote.radicalxchange.org/vote?user=802cd15b-5bb6-400c-9623-d05a6cca4770</t>
  </si>
  <si>
    <t>https://quadraticvote.radicalxchange.org/vote?user=4c778b18-2db3-45ed-9b02-05cba7430b1a</t>
  </si>
  <si>
    <t>https://quadraticvote.radicalxchange.org/vote?user=21b2350b-53a3-4472-85e7-c0a437a4ea58</t>
  </si>
  <si>
    <t>https://quadraticvote.radicalxchange.org/vote?user=1ecdacb6-8542-4dc0-ae8d-f0bb98fe50a8</t>
  </si>
  <si>
    <t>https://quadraticvote.radicalxchange.org/vote?user=63b0b7e8-c04f-453e-9420-b6ec98a882e6</t>
  </si>
  <si>
    <t>https://quadraticvote.radicalxchange.org/vote?user=3c26cabe-9cd6-4e6a-a9da-19263587bc1c</t>
  </si>
  <si>
    <t>https://quadraticvote.radicalxchange.org/vote?user=7b9881de-fbed-4c42-a8cd-bf5d725fc5ab</t>
  </si>
  <si>
    <t>https://quadraticvote.radicalxchange.org/vote?user=f6e60c1d-c865-4340-895f-4e5a3e3dfadb</t>
  </si>
  <si>
    <t>https://quadraticvote.radicalxchange.org/vote?user=e2b7c2eb-db0a-42b8-a9ce-844d22df7a23</t>
  </si>
  <si>
    <t>https://quadraticvote.radicalxchange.org/vote?user=64f9c970-8193-4a3b-9b5d-2ebadd20f1bd</t>
  </si>
  <si>
    <t>https://quadraticvote.radicalxchange.org/vote?user=8e1428d1-50b5-4ad8-81f8-07bdc1beee93</t>
  </si>
  <si>
    <t>https://quadraticvote.radicalxchange.org/vote?user=d24507a9-3cb0-4c0c-bce6-96ef2e5dc18f</t>
  </si>
  <si>
    <t>https://quadraticvote.radicalxchange.org/vote?user=c88d4877-996b-4a13-9447-9e989257c669</t>
  </si>
  <si>
    <t>https://quadraticvote.radicalxchange.org/vote?user=e5ebab67-95a7-4764-8faa-8349a4859aaa</t>
  </si>
  <si>
    <t>https://quadraticvote.radicalxchange.org/vote?user=5c3b44d9-8ecd-4b99-86d3-9c4b850a8374</t>
  </si>
  <si>
    <t>https://quadraticvote.radicalxchange.org/vote?user=5953465b-5b3c-4eb5-9c8c-dd817fe6ab71</t>
  </si>
  <si>
    <t>https://quadraticvote.radicalxchange.org/vote?user=fbadc273-6b97-4b02-9d49-3a0af571ed89</t>
  </si>
  <si>
    <t>https://quadraticvote.radicalxchange.org/vote?user=30738756-3d1d-4eb7-a5e0-369ce11f0153</t>
  </si>
  <si>
    <t>https://quadraticvote.radicalxchange.org/vote?user=6b624b1d-e7bc-4c4e-bc26-a9ff687fd324</t>
  </si>
  <si>
    <t>https://quadraticvote.radicalxchange.org/vote?user=30ac7402-f5dd-45bc-82b3-615915d85bbe</t>
  </si>
  <si>
    <t>https://quadraticvote.radicalxchange.org/vote?user=ca682365-3263-4eff-a30b-ab4c62ed388e</t>
  </si>
  <si>
    <t>https://quadraticvote.radicalxchange.org/vote?user=764872e0-d975-4daf-aecb-289ae9044814</t>
  </si>
  <si>
    <t>https://quadraticvote.radicalxchange.org/vote?user=625cecf5-0e79-4179-a0d9-056aa6a7ba38</t>
  </si>
  <si>
    <t>https://quadraticvote.radicalxchange.org/vote?user=8f6b0ed9-28e3-4935-8743-91d1fc502584</t>
  </si>
  <si>
    <t>https://quadraticvote.radicalxchange.org/vote?user=571a4919-5747-4da5-bff3-90894ea7db65</t>
  </si>
  <si>
    <t>https://quadraticvote.radicalxchange.org/vote?user=776019f4-03b6-484c-a252-fb3ac350f99f</t>
  </si>
  <si>
    <t>https://quadraticvote.radicalxchange.org/vote?user=53df9de4-d5ed-4dc0-8458-98f69cfe2239</t>
  </si>
  <si>
    <t>https://quadraticvote.radicalxchange.org/vote?user=a4f0136b-c09c-4146-b551-d717abf5697e</t>
  </si>
  <si>
    <t>https://quadraticvote.radicalxchange.org/vote?user=fa7e6108-1ed5-41bc-9b25-3b022ef1603e</t>
  </si>
  <si>
    <t>https://quadraticvote.radicalxchange.org/vote?user=9edce945-b203-490a-b25b-8daf161480ba</t>
  </si>
  <si>
    <t>https://quadraticvote.radicalxchange.org/vote?user=69df274d-aed1-40bf-86af-c7db011f591b</t>
  </si>
  <si>
    <t>https://quadraticvote.radicalxchange.org/vote?user=278d7f1f-428c-4028-a99a-19edd6bcb615</t>
  </si>
  <si>
    <t>https://quadraticvote.radicalxchange.org/vote?user=2fcd5c51-bd9c-428c-95b2-e0098521e792</t>
  </si>
  <si>
    <t>https://quadraticvote.radicalxchange.org/vote?user=1eec6f71-9913-40ab-ba95-8de3a8d70158</t>
  </si>
  <si>
    <t>https://quadraticvote.radicalxchange.org/vote?user=fcb4b05c-4b2e-4635-9824-991092cebd86</t>
  </si>
  <si>
    <t>https://quadraticvote.radicalxchange.org/vote?user=d0eddcfd-7188-4ec7-b9bc-6fb9675b3006</t>
  </si>
  <si>
    <t>https://quadraticvote.radicalxchange.org/vote?user=975fe7a0-00a0-4375-867c-4f4a6ff90883</t>
  </si>
  <si>
    <t>https://quadraticvote.radicalxchange.org/vote?user=15ad8ed9-060c-4e4e-9e7c-10514862d441</t>
  </si>
  <si>
    <t>https://quadraticvote.radicalxchange.org/vote?user=4669791c-91d1-40a5-8de3-15ec77559a09</t>
  </si>
  <si>
    <t>https://quadraticvote.radicalxchange.org/vote?user=4b411079-c0d7-4f63-8f2e-979208d7b476</t>
  </si>
  <si>
    <t>https://quadraticvote.radicalxchange.org/vote?user=826255d0-0a88-4ffa-b232-996323edc729</t>
  </si>
  <si>
    <t>https://quadraticvote.radicalxchange.org/vote?user=28fdc285-90e8-4d80-a306-4f54d07c4b5f</t>
  </si>
  <si>
    <t>https://quadraticvote.radicalxchange.org/vote?user=2d0012f6-9b3e-45e9-8409-b6156de6087d</t>
  </si>
  <si>
    <t>https://quadraticvote.radicalxchange.org/vote?user=01a589e6-cd0f-4eae-8c68-fcdb34b0435f</t>
  </si>
  <si>
    <t>https://quadraticvote.radicalxchange.org/vote?user=d0536b69-5c5c-4f21-8314-74e40801ed3b</t>
  </si>
  <si>
    <t>https://quadraticvote.radicalxchange.org/vote?user=9f8a23bd-f2f6-4e21-89c9-01ced31131ba</t>
  </si>
  <si>
    <t>https://quadraticvote.radicalxchange.org/vote?user=1892f9f4-b736-443b-81d3-f8e32b848def</t>
  </si>
  <si>
    <t>https://quadraticvote.radicalxchange.org/vote?user=fc0bc511-7733-4d48-a271-279a83d34df8</t>
  </si>
  <si>
    <t>https://quadraticvote.radicalxchange.org/vote?user=e2d4d198-32d3-4051-b555-5646f6706d6a</t>
  </si>
  <si>
    <t>https://quadraticvote.radicalxchange.org/vote?user=55a0856e-4759-445a-957c-b9dbf5b4aa2e</t>
  </si>
  <si>
    <t>https://quadraticvote.radicalxchange.org/vote?user=d2206171-7c3f-4c63-9518-7e913f8fcb31</t>
  </si>
  <si>
    <t>https://quadraticvote.radicalxchange.org/vote?user=92fe2340-5bb7-46ce-8498-d29ef1cf6d60</t>
  </si>
  <si>
    <t>https://quadraticvote.radicalxchange.org/vote?user=829c0233-1f44-46b3-83fc-6791437fddef</t>
  </si>
  <si>
    <t>https://quadraticvote.radicalxchange.org/vote?user=f0898170-3fef-42ab-9207-ca1cbf856cdd</t>
  </si>
  <si>
    <t>https://quadraticvote.radicalxchange.org/vote?user=3ffb8fec-1eb3-4158-aade-f02b361b3a9f</t>
  </si>
  <si>
    <t>https://quadraticvote.radicalxchange.org/vote?user=819059ff-f596-49a6-a817-2f0ef442deee</t>
  </si>
  <si>
    <t>https://quadraticvote.radicalxchange.org/vote?user=2bf7edb1-2e9f-4464-b4d8-846e9af2ff54</t>
  </si>
  <si>
    <t>https://quadraticvote.radicalxchange.org/vote?user=06e73c52-3ab0-49ea-8f12-8aec4f11d611</t>
  </si>
  <si>
    <t>https://quadraticvote.radicalxchange.org/vote?user=b0897c69-e17f-4914-8ef0-56a7f20de8aa</t>
  </si>
  <si>
    <t>https://quadraticvote.radicalxchange.org/vote?user=f90e2705-0257-43df-904e-39b481a09093</t>
  </si>
  <si>
    <t>https://quadraticvote.radicalxchange.org/vote?user=c171cba2-d8cb-4e9b-82a8-994539d35d2c</t>
  </si>
  <si>
    <t>https://quadraticvote.radicalxchange.org/vote?user=514bad1d-e3de-44a0-a4cd-ee699e4c4340</t>
  </si>
  <si>
    <t>https://quadraticvote.radicalxchange.org/vote?user=9d4d435c-eb2d-499c-8976-43598aebbfc6</t>
  </si>
  <si>
    <t>https://quadraticvote.radicalxchange.org/vote?user=1e593ede-9cc4-4d1a-8293-918aa8dfc8ce</t>
  </si>
  <si>
    <t>YI</t>
  </si>
  <si>
    <t>title</t>
  </si>
  <si>
    <t>description</t>
  </si>
  <si>
    <t>votes</t>
  </si>
  <si>
    <t>percentage</t>
  </si>
  <si>
    <t>total fund</t>
  </si>
  <si>
    <t>rounded</t>
  </si>
  <si>
    <t>#1 Shoutout</t>
  </si>
  <si>
    <t>#2 digiresithon</t>
  </si>
  <si>
    <t>#3 Linux Odyssey</t>
  </si>
  <si>
    <t>#4 Collage</t>
  </si>
  <si>
    <t>活動開場簡報</t>
  </si>
  <si>
    <t>https://docs.google.com/presentation/d/1dfBB8RXHBfA52Y_QYMcoRu2HpHEEzLoEVcPnLkzFZMg/edit?usp=sharing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</si>
</sst>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49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u/>
      <sz val="10.0"/>
      <color rgb="FF0000FF"/>
    </font>
    <font>
      <b/>
      <sz val="9.0"/>
      <color rgb="FF0000FF"/>
    </font>
    <font>
      <color rgb="FFFF9900"/>
    </font>
    <font>
      <sz val="10.0"/>
      <color rgb="FF181A1B"/>
    </font>
    <font/>
    <font>
      <u/>
      <color rgb="FF0000FF"/>
    </font>
    <font>
      <sz val="10.0"/>
      <color rgb="FF008000"/>
      <name val="&quot;Google Sans Mono&quot;"/>
    </font>
    <font>
      <sz val="10.0"/>
      <color rgb="FF000000"/>
    </font>
    <font>
      <sz val="11.0"/>
    </font>
    <font>
      <u/>
      <sz val="11.0"/>
      <color rgb="FF0000FF"/>
    </font>
    <font>
      <sz val="10.0"/>
    </font>
    <font>
      <u/>
      <sz val="10.0"/>
      <color rgb="FF56A3F1"/>
    </font>
    <font>
      <u/>
      <sz val="10.0"/>
      <color rgb="FF1155CC"/>
    </font>
    <font>
      <color rgb="FF000000"/>
    </font>
    <font>
      <name val="Arial"/>
    </font>
    <font>
      <u/>
      <color rgb="FF0000FF"/>
    </font>
    <font>
      <u/>
      <color rgb="FF0000FF"/>
    </font>
    <font>
      <u/>
      <sz val="11.0"/>
      <color rgb="FF0000FF"/>
    </font>
    <font>
      <u/>
      <color rgb="FF0000FF"/>
    </font>
    <font>
      <u/>
      <sz val="11.0"/>
      <color rgb="FF1155CC"/>
    </font>
    <font>
      <sz val="11.0"/>
      <color rgb="FF000000"/>
    </font>
    <font>
      <sz val="11.0"/>
      <name val="Arial"/>
    </font>
    <font>
      <u/>
      <color rgb="FF1155CC"/>
      <name val="Arial"/>
    </font>
    <font>
      <color rgb="FF000000"/>
      <name val="Arial"/>
    </font>
    <font>
      <u/>
      <color rgb="FF0000FF"/>
      <name val="Arial"/>
    </font>
    <font>
      <u/>
      <sz val="11.0"/>
      <color rgb="FF0000FF"/>
      <name val="Arial"/>
    </font>
    <font>
      <sz val="9.0"/>
      <color rgb="FF008000"/>
      <name val="Google Sans Mono"/>
    </font>
    <font>
      <u/>
      <sz val="11.0"/>
      <color rgb="FF0000FF"/>
      <name val="Arial"/>
    </font>
    <font>
      <u/>
      <color rgb="FF0000FF"/>
    </font>
    <font>
      <b/>
      <u/>
      <sz val="10.0"/>
      <color rgb="FF0000FF"/>
    </font>
    <font>
      <sz val="9.0"/>
      <color rgb="FF008000"/>
      <name val="&quot;Google Sans Mono&quot;"/>
    </font>
    <font>
      <sz val="12.0"/>
    </font>
    <font>
      <u/>
      <color rgb="FF0000FF"/>
      <name val="Arial"/>
    </font>
    <font>
      <u/>
      <color rgb="FF0000FF"/>
      <name val="Arial"/>
    </font>
    <font>
      <sz val="11.0"/>
      <color rgb="FF2B80B9"/>
    </font>
    <font>
      <sz val="18.0"/>
      <name val="Arial"/>
    </font>
    <font>
      <sz val="19.0"/>
      <name val="Arial"/>
    </font>
    <font>
      <sz val="14.0"/>
      <name val="Arial"/>
    </font>
    <font>
      <b/>
      <sz val="12.0"/>
      <color rgb="FFCC0000"/>
    </font>
    <font>
      <u/>
      <color rgb="FF0000FF"/>
    </font>
    <font>
      <b/>
    </font>
    <font>
      <b/>
      <name val="Arial"/>
    </font>
    <font>
      <color rgb="FF181A1B"/>
    </font>
    <font>
      <sz val="14.0"/>
    </font>
  </fonts>
  <fills count="1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2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6" fontId="11" numFmtId="0" xfId="0" applyAlignment="1" applyFill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20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6" fontId="2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6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5" fontId="19" numFmtId="0" xfId="0" applyAlignment="1" applyFont="1">
      <alignment readingOrder="0" shrinkToFit="0" vertical="center" wrapText="1"/>
    </xf>
    <xf borderId="0" fillId="6" fontId="31" numFmtId="0" xfId="0" applyAlignment="1" applyFont="1">
      <alignment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3" fontId="19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0" fillId="0" fontId="33" numFmtId="0" xfId="0" applyAlignment="1" applyFont="1">
      <alignment readingOrder="0" shrinkToFit="0" wrapText="1"/>
    </xf>
    <xf quotePrefix="1" borderId="0" fillId="0" fontId="9" numFmtId="0" xfId="0" applyAlignment="1" applyFont="1">
      <alignment horizontal="center"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6" fontId="35" numFmtId="0" xfId="0" applyAlignment="1" applyFont="1">
      <alignment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36" numFmtId="0" xfId="0" applyAlignment="1" applyFont="1">
      <alignment readingOrder="0" shrinkToFit="0" vertical="center" wrapText="1"/>
    </xf>
    <xf borderId="0" fillId="7" fontId="9" numFmtId="0" xfId="0" applyAlignment="1" applyFill="1" applyFont="1">
      <alignment shrinkToFit="0" vertical="center" wrapText="1"/>
    </xf>
    <xf borderId="0" fillId="7" fontId="15" numFmtId="0" xfId="0" applyAlignment="1" applyFont="1">
      <alignment horizontal="center" readingOrder="0" shrinkToFit="0" vertical="center" wrapText="1"/>
    </xf>
    <xf quotePrefix="1" borderId="0" fillId="7" fontId="15" numFmtId="0" xfId="0" applyAlignment="1" applyFont="1">
      <alignment horizontal="center" readingOrder="0" shrinkToFit="0" vertical="center" wrapText="1"/>
    </xf>
    <xf borderId="0" fillId="7" fontId="9" numFmtId="0" xfId="0" applyAlignment="1" applyFont="1">
      <alignment horizontal="center" shrinkToFit="0" vertical="center" wrapText="1"/>
    </xf>
    <xf borderId="0" fillId="7" fontId="9" numFmtId="0" xfId="0" applyAlignment="1" applyFont="1">
      <alignment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8" fontId="9" numFmtId="0" xfId="0" applyAlignment="1" applyFill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shrinkToFit="0" wrapText="1"/>
    </xf>
    <xf borderId="0" fillId="3" fontId="19" numFmtId="0" xfId="0" applyAlignment="1" applyFont="1">
      <alignment shrinkToFit="0" wrapText="1"/>
    </xf>
    <xf borderId="0" fillId="6" fontId="19" numFmtId="0" xfId="0" applyAlignment="1" applyFont="1">
      <alignment shrinkToFit="0" wrapText="1"/>
    </xf>
    <xf borderId="0" fillId="6" fontId="19" numFmtId="0" xfId="0" applyAlignment="1" applyFont="1">
      <alignment readingOrder="0" shrinkToFit="0" wrapText="1"/>
    </xf>
    <xf borderId="0" fillId="0" fontId="37" numFmtId="0" xfId="0" applyAlignment="1" applyFont="1">
      <alignment shrinkToFit="0" wrapText="1"/>
    </xf>
    <xf borderId="0" fillId="6" fontId="15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38" numFmtId="0" xfId="0" applyAlignment="1" applyFont="1">
      <alignment readingOrder="0" shrinkToFit="0" vertical="center" wrapText="1"/>
    </xf>
    <xf borderId="0" fillId="0" fontId="39" numFmtId="0" xfId="0" applyAlignment="1" applyFont="1">
      <alignment readingOrder="0" shrinkToFit="0" vertical="center" wrapText="1"/>
    </xf>
    <xf borderId="0" fillId="6" fontId="15" numFmtId="0" xfId="0" applyAlignment="1" applyFont="1">
      <alignment readingOrder="0" shrinkToFit="0" vertical="center" wrapText="1"/>
    </xf>
    <xf borderId="0" fillId="9" fontId="9" numFmtId="0" xfId="0" applyAlignment="1" applyFill="1" applyFont="1">
      <alignment shrinkToFit="0" vertical="center" wrapText="1"/>
    </xf>
    <xf borderId="0" fillId="9" fontId="9" numFmtId="0" xfId="0" applyAlignment="1" applyFont="1">
      <alignment horizontal="center" shrinkToFit="0" vertical="center" wrapText="1"/>
    </xf>
    <xf borderId="0" fillId="9" fontId="9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bottom" wrapText="1"/>
    </xf>
    <xf borderId="0" fillId="10" fontId="40" numFmtId="0" xfId="0" applyAlignment="1" applyFill="1" applyFont="1">
      <alignment horizontal="center" readingOrder="0" shrinkToFit="0" vertical="bottom" wrapText="1"/>
    </xf>
    <xf borderId="0" fillId="11" fontId="41" numFmtId="0" xfId="0" applyAlignment="1" applyFill="1" applyFont="1">
      <alignment horizontal="center" readingOrder="0" shrinkToFit="0" vertical="center" wrapText="1"/>
    </xf>
    <xf borderId="0" fillId="10" fontId="40" numFmtId="0" xfId="0" applyAlignment="1" applyFont="1">
      <alignment horizontal="center" shrinkToFit="0" vertical="bottom" wrapText="1"/>
    </xf>
    <xf borderId="0" fillId="0" fontId="19" numFmtId="0" xfId="0" applyAlignment="1" applyFont="1">
      <alignment shrinkToFit="0" vertical="center" wrapText="1"/>
    </xf>
    <xf borderId="2" fillId="0" fontId="42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wrapText="1"/>
    </xf>
    <xf borderId="2" fillId="0" fontId="19" numFmtId="0" xfId="0" applyAlignment="1" applyBorder="1" applyFont="1">
      <alignment shrinkToFit="0" vertical="center" wrapText="1"/>
    </xf>
    <xf borderId="0" fillId="12" fontId="19" numFmtId="0" xfId="0" applyAlignment="1" applyFill="1" applyFont="1">
      <alignment horizontal="center" readingOrder="0" shrinkToFit="0" vertical="center" wrapText="1"/>
    </xf>
    <xf borderId="3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1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shrinkToFit="0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readingOrder="0" shrinkToFit="0" wrapText="1"/>
    </xf>
    <xf borderId="1" fillId="13" fontId="19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readingOrder="0" shrinkToFit="0" wrapText="1"/>
    </xf>
    <xf borderId="1" fillId="0" fontId="19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vertical="center" wrapText="1"/>
    </xf>
    <xf borderId="4" fillId="0" fontId="19" numFmtId="0" xfId="0" applyAlignment="1" applyBorder="1" applyFont="1">
      <alignment shrinkToFit="0" wrapText="1"/>
    </xf>
    <xf borderId="1" fillId="13" fontId="19" numFmtId="0" xfId="0" applyAlignment="1" applyBorder="1" applyFont="1">
      <alignment horizontal="center" shrinkToFit="0" vertical="center" wrapText="1"/>
    </xf>
    <xf borderId="0" fillId="6" fontId="19" numFmtId="0" xfId="0" applyAlignment="1" applyFont="1">
      <alignment horizontal="center" shrinkToFit="0" vertical="center" wrapText="1"/>
    </xf>
    <xf borderId="5" fillId="0" fontId="19" numFmtId="0" xfId="0" applyAlignment="1" applyBorder="1" applyFont="1">
      <alignment shrinkToFit="0" wrapText="1"/>
    </xf>
    <xf borderId="0" fillId="5" fontId="43" numFmtId="0" xfId="0" applyAlignment="1" applyFont="1">
      <alignment readingOrder="0" shrinkToFit="0" wrapText="1"/>
    </xf>
    <xf borderId="0" fillId="14" fontId="44" numFmtId="0" xfId="0" applyAlignment="1" applyFill="1" applyFont="1">
      <alignment readingOrder="0" shrinkToFit="0" wrapText="1"/>
    </xf>
    <xf borderId="0" fillId="15" fontId="45" numFmtId="0" xfId="0" applyAlignment="1" applyFill="1" applyFont="1">
      <alignment readingOrder="0" shrinkToFit="0" wrapText="1"/>
    </xf>
    <xf borderId="0" fillId="15" fontId="46" numFmtId="0" xfId="0" applyAlignment="1" applyFont="1">
      <alignment shrinkToFit="0" vertical="bottom" wrapText="1"/>
    </xf>
    <xf borderId="0" fillId="0" fontId="47" numFmtId="0" xfId="0" applyAlignment="1" applyFont="1">
      <alignment readingOrder="0" shrinkToFit="0" wrapText="1"/>
    </xf>
    <xf borderId="0" fillId="0" fontId="47" numFmtId="0" xfId="0" applyAlignment="1" applyFont="1">
      <alignment horizontal="right" readingOrder="0" shrinkToFit="0" wrapText="1"/>
    </xf>
    <xf borderId="0" fillId="0" fontId="9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16" fontId="45" numFmtId="0" xfId="0" applyAlignment="1" applyFill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16" fontId="45" numFmtId="0" xfId="0" applyAlignment="1" applyFont="1">
      <alignment readingOrder="0" shrinkToFit="0" wrapText="1"/>
    </xf>
    <xf borderId="0" fillId="0" fontId="9" numFmtId="10" xfId="0" applyAlignment="1" applyFont="1" applyNumberFormat="1">
      <alignment readingOrder="0" shrinkToFit="0" wrapText="1"/>
    </xf>
    <xf borderId="0" fillId="0" fontId="4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ckmd.io/@wkaJLVJTTwCbncUM7qZK_A/SJCRJx_MA" TargetMode="External"/><Relationship Id="rId42" Type="http://schemas.openxmlformats.org/officeDocument/2006/relationships/hyperlink" Target="https://docs.google.com/presentation/d/1PeRlL_8ATMkNbzQXp8hvCd9Acj7KQKYETykEWehTMY0/edit?usp=sharing" TargetMode="External"/><Relationship Id="rId41" Type="http://schemas.openxmlformats.org/officeDocument/2006/relationships/hyperlink" Target="https://docs.google.com/presentation/d/1dfBB8RXHBfA52Y_QYMcoRu2HpHEEzLoEVcPnLkzFZMg/edit" TargetMode="External"/><Relationship Id="rId44" Type="http://schemas.openxmlformats.org/officeDocument/2006/relationships/hyperlink" Target="https://g0v.hackmd.io/@chewei/carbon-uptake/https%3A%2F%2Fg0v.hackmd.io%2FM369znrhQHWqONzLjOCj8g%3Fview" TargetMode="External"/><Relationship Id="rId43" Type="http://schemas.openxmlformats.org/officeDocument/2006/relationships/hyperlink" Target="https://www.canva.com/design/DAGXQalo7zI/xGw_-NYp45s_qdFS4ltZMg/edit?utm_content=DAGXQalo7zI&amp;utm_campaign=designshare&amp;utm_medium=link2&amp;utm_source=sharebutton" TargetMode="External"/><Relationship Id="rId46" Type="http://schemas.openxmlformats.org/officeDocument/2006/relationships/hyperlink" Target="https://docs.google.com/presentation/d/10lTA97UvXMgZ2Oil2G5gfzifnpmYTdAWI1gUq3eEOHk/edit" TargetMode="External"/><Relationship Id="rId45" Type="http://schemas.openxmlformats.org/officeDocument/2006/relationships/hyperlink" Target="https://hackmd.io/@greensofa?utm_source=preview-mode&amp;utm_medium=rec" TargetMode="External"/><Relationship Id="rId1" Type="http://schemas.openxmlformats.org/officeDocument/2006/relationships/hyperlink" Target="https://docs.google.com/document/d/1ZyUD7BF0z15pLaSEP0hHez1d9T95LlVNNVXdMhWioEY/edit?tab=t.0" TargetMode="External"/><Relationship Id="rId2" Type="http://schemas.openxmlformats.org/officeDocument/2006/relationships/hyperlink" Target="https://g0v.hackmd.io/@jothon/BJ6ymwPfT" TargetMode="External"/><Relationship Id="rId3" Type="http://schemas.openxmlformats.org/officeDocument/2006/relationships/hyperlink" Target="https://docs.google.com/document/d/1ZyUD7BF0z15pLaSEP0hHez1d9T95LlVNNVXdMhWioEY/edit?tab=t.0" TargetMode="External"/><Relationship Id="rId4" Type="http://schemas.openxmlformats.org/officeDocument/2006/relationships/hyperlink" Target="https://www.canva.com/design/DAGXK1qtCWQ/LDLOjKKBt9OvxMqygXR4gA/edit?utm_content=DAGXK1qtCWQ&amp;utm_campaign=designshare&amp;utm_medium=link2&amp;utm_source=sharebutton" TargetMode="External"/><Relationship Id="rId9" Type="http://schemas.openxmlformats.org/officeDocument/2006/relationships/hyperlink" Target="https://hackmd.io/@moztw/cv-g0v-64" TargetMode="External"/><Relationship Id="rId48" Type="http://schemas.openxmlformats.org/officeDocument/2006/relationships/hyperlink" Target="https://drive.google.com/drive/folders/10YRWxusb6kNZS4fLr1EWyrk-z0ce1sda" TargetMode="External"/><Relationship Id="rId47" Type="http://schemas.openxmlformats.org/officeDocument/2006/relationships/hyperlink" Target="https://discord.com/invite/U6S3CQwX2z?fbclid=IwZXh0bgNhZW0CMTEAAR064ZfisBCKmqe8sXiHnGDjsQj6ALlYcsS8hqessAOAecjni_r6Q5hnci0_aem_rcWKpymrrhUozNMsqJRq-A" TargetMode="External"/><Relationship Id="rId49" Type="http://schemas.openxmlformats.org/officeDocument/2006/relationships/hyperlink" Target="https://www.youtube.com/shorts/DPAWlM8NcxE" TargetMode="External"/><Relationship Id="rId5" Type="http://schemas.openxmlformats.org/officeDocument/2006/relationships/hyperlink" Target="https://hackmd.io/@ejc/ryleW7cZkg" TargetMode="External"/><Relationship Id="rId6" Type="http://schemas.openxmlformats.org/officeDocument/2006/relationships/hyperlink" Target="https://docs.google.com/presentation/d/1cZ3ClEBLaFOrFtMNSiNK7knoSOtg3oCDlNNCGoa-YE8/edit?usp=sharing" TargetMode="External"/><Relationship Id="rId7" Type="http://schemas.openxmlformats.org/officeDocument/2006/relationships/hyperlink" Target="https://docs.google.com/document/d/1sh0bOG8cnMGV8DJYpqPftNVFdFDgVr_-m7XnpzUF09Q/edit?tab=t.0" TargetMode="External"/><Relationship Id="rId8" Type="http://schemas.openxmlformats.org/officeDocument/2006/relationships/hyperlink" Target="https://docs.google.com/presentation/d/1NKyi_fcGAKf2y1v3kMk1zt2A9uaN4aUCgFTOYN0Ek4E/edit" TargetMode="External"/><Relationship Id="rId31" Type="http://schemas.openxmlformats.org/officeDocument/2006/relationships/hyperlink" Target="https://docs.google.com/presentation/d/111FEJie3-awSa_NX01fF0p_1IDUycxnHqLn2M2iF7D8/" TargetMode="External"/><Relationship Id="rId30" Type="http://schemas.openxmlformats.org/officeDocument/2006/relationships/hyperlink" Target="https://drive.google.com/drive/folders/10YRWxusb6kNZS4fLr1EWyrk-z0ce1sda" TargetMode="External"/><Relationship Id="rId33" Type="http://schemas.openxmlformats.org/officeDocument/2006/relationships/hyperlink" Target="https://docs.google.com/presentation/d/1_VaCZYEila6iEkjbauET3xJ3BJ2WLlZCNbym82wZnf4/edit" TargetMode="External"/><Relationship Id="rId32" Type="http://schemas.openxmlformats.org/officeDocument/2006/relationships/hyperlink" Target="https://www.youtube.com/@%E7%AB%8B%E6%B3%95%E9%99%A2%E5%8D%81%E5%A4%A7%E5%A5%BD%E7%90%83" TargetMode="External"/><Relationship Id="rId35" Type="http://schemas.openxmlformats.org/officeDocument/2006/relationships/hyperlink" Target="https://docs.google.com/presentation/d/1hRDkrRWtU5XILRkbrBU4o4_UqR9XwHnw/edit?usp=drivesdk&amp;ouid=107338149296176988472&amp;rtpof=true&amp;sd=true" TargetMode="External"/><Relationship Id="rId34" Type="http://schemas.openxmlformats.org/officeDocument/2006/relationships/hyperlink" Target="https://g0v.hackmd.io/sdmD8FHiQQ2u1PjRX01Qkw" TargetMode="External"/><Relationship Id="rId37" Type="http://schemas.openxmlformats.org/officeDocument/2006/relationships/hyperlink" Target="https://app.heptabase.com/w/1a89674ae446f265a7fe3fc08852951c34770b50fdd22505b6ff3d3e785e9e2d" TargetMode="External"/><Relationship Id="rId36" Type="http://schemas.openxmlformats.org/officeDocument/2006/relationships/hyperlink" Target="https://g0v.hackmd.io/@jothon/HJxLTdOLw6" TargetMode="External"/><Relationship Id="rId39" Type="http://schemas.openxmlformats.org/officeDocument/2006/relationships/hyperlink" Target="https://g0v.hackmd.io/@irvin/open-talk" TargetMode="External"/><Relationship Id="rId38" Type="http://schemas.openxmlformats.org/officeDocument/2006/relationships/hyperlink" Target="https://docs.google.com/presentation/d/1tZPwaWJhtop5CPJOhulOT-ZC0qI-QR3kD97QM38Tm3w/edit?usp=sharing" TargetMode="External"/><Relationship Id="rId20" Type="http://schemas.openxmlformats.org/officeDocument/2006/relationships/hyperlink" Target="https://docs.google.com/presentation/d/1uilk4kIXIOhkbFiCUGSW690GvlJkI4hIwOsVlV1xE8o/edit?usp=sharing" TargetMode="External"/><Relationship Id="rId22" Type="http://schemas.openxmlformats.org/officeDocument/2006/relationships/hyperlink" Target="http://g0v.tw/" TargetMode="External"/><Relationship Id="rId21" Type="http://schemas.openxmlformats.org/officeDocument/2006/relationships/hyperlink" Target="https://docs.google.com/presentation/d/1EnMFBHt-VRcHKJlW0_ItAaUAAdudZj2_cL4XkL0jH40/edit?usp=drive_link" TargetMode="External"/><Relationship Id="rId24" Type="http://schemas.openxmlformats.org/officeDocument/2006/relationships/hyperlink" Target="https://g0v-landing-page.pages.dev/" TargetMode="External"/><Relationship Id="rId23" Type="http://schemas.openxmlformats.org/officeDocument/2006/relationships/hyperlink" Target="https://g0v.hackmd.io/-tK5suPVTgGvhvqZb80DiQ" TargetMode="External"/><Relationship Id="rId26" Type="http://schemas.openxmlformats.org/officeDocument/2006/relationships/hyperlink" Target="https://docs.google.com/presentation/d/1YuxAkcJbYKLMKDCNf-GdeOLHDJ3fyavJShGE08RXIko/edit?usp=sharing" TargetMode="External"/><Relationship Id="rId25" Type="http://schemas.openxmlformats.org/officeDocument/2006/relationships/hyperlink" Target="https://g0v.hackmd.io/@tmonk/rJHYWR9S4/%2FGUe0KXMsQBC-6KTIUPBVnA%3Fboth?type=book" TargetMode="External"/><Relationship Id="rId28" Type="http://schemas.openxmlformats.org/officeDocument/2006/relationships/hyperlink" Target="https://cofacts.tw/hack" TargetMode="External"/><Relationship Id="rId27" Type="http://schemas.openxmlformats.org/officeDocument/2006/relationships/hyperlink" Target="https://exptech.com.tw/dpip" TargetMode="External"/><Relationship Id="rId29" Type="http://schemas.openxmlformats.org/officeDocument/2006/relationships/hyperlink" Target="https://docs.google.com/presentation/d/121j3tU3ed5dAAquwJgTIq5MC6iI-t1oIXsDzQeJj96s/edit" TargetMode="External"/><Relationship Id="rId51" Type="http://schemas.openxmlformats.org/officeDocument/2006/relationships/hyperlink" Target="https://cofacts.tw/hack" TargetMode="External"/><Relationship Id="rId50" Type="http://schemas.openxmlformats.org/officeDocument/2006/relationships/hyperlink" Target="https://www.youtube.com/@%E7%AB%8B%E6%B3%95%E9%99%A2%E5%8D%81%E5%A4%A7%E5%A5%BD%E7%90%83" TargetMode="External"/><Relationship Id="rId53" Type="http://schemas.openxmlformats.org/officeDocument/2006/relationships/hyperlink" Target="https://drive.google.com/file/d/16SQsH0rT5_0nNRnulxvxwE8TFo7f83Kh/view?usp=drive_link" TargetMode="External"/><Relationship Id="rId52" Type="http://schemas.openxmlformats.org/officeDocument/2006/relationships/hyperlink" Target="https://g0v.hackmd.io/@d2wg/book/" TargetMode="External"/><Relationship Id="rId11" Type="http://schemas.openxmlformats.org/officeDocument/2006/relationships/hyperlink" Target="http://cvline.moztw.space/" TargetMode="External"/><Relationship Id="rId55" Type="http://schemas.openxmlformats.org/officeDocument/2006/relationships/hyperlink" Target="http://cvline.moztw.space/" TargetMode="External"/><Relationship Id="rId10" Type="http://schemas.openxmlformats.org/officeDocument/2006/relationships/hyperlink" Target="https://hackmd.io/@moztw/cv-slide" TargetMode="External"/><Relationship Id="rId54" Type="http://schemas.openxmlformats.org/officeDocument/2006/relationships/hyperlink" Target="https://hackmd.io/@moztw/cv-g0v-64" TargetMode="External"/><Relationship Id="rId13" Type="http://schemas.openxmlformats.org/officeDocument/2006/relationships/hyperlink" Target="https://gamma.app/public/-k2mshk2q40b53ck" TargetMode="External"/><Relationship Id="rId57" Type="http://schemas.openxmlformats.org/officeDocument/2006/relationships/hyperlink" Target="https://www.instagram.com/return_inn" TargetMode="External"/><Relationship Id="rId12" Type="http://schemas.openxmlformats.org/officeDocument/2006/relationships/hyperlink" Target="http://s.g0v.tw/resi" TargetMode="External"/><Relationship Id="rId56" Type="http://schemas.openxmlformats.org/officeDocument/2006/relationships/hyperlink" Target="https://g0v.tw/event/" TargetMode="External"/><Relationship Id="rId15" Type="http://schemas.openxmlformats.org/officeDocument/2006/relationships/hyperlink" Target="https://hackmd.io/@Shomes/SJdVB0hMJl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docs.google.com/document/d/18Tdrspjxc7KtFKNGYwAXamx5BXgRCNLVjQ1N4sZfnQw/edit?usp=sharing" TargetMode="External"/><Relationship Id="rId58" Type="http://schemas.openxmlformats.org/officeDocument/2006/relationships/hyperlink" Target="https://www.youtube.com/watch?v=Li4KNe6M2-4&amp;t=47s" TargetMode="External"/><Relationship Id="rId17" Type="http://schemas.openxmlformats.org/officeDocument/2006/relationships/hyperlink" Target="https://www.youtube.com/watch?v=XzvfmUf1QP8" TargetMode="External"/><Relationship Id="rId16" Type="http://schemas.openxmlformats.org/officeDocument/2006/relationships/hyperlink" Target="https://www.canva.com/design/DAGXHjH-hl8/k24vcf7BTTTRL-NyBIeIDw/edit?utm_content=DAGXHjH-hl8&amp;utm_campaign=designshare&amp;utm_medium=link2&amp;utm_source=sharebutton" TargetMode="External"/><Relationship Id="rId19" Type="http://schemas.openxmlformats.org/officeDocument/2006/relationships/hyperlink" Target="https://g0v.hackmd.io/@chewei/joinplus/https%3A%2F%2Fg0v.hackmd.io%2F8uZcrlPGQmOJAzweskG9Og%3Fview" TargetMode="External"/><Relationship Id="rId18" Type="http://schemas.openxmlformats.org/officeDocument/2006/relationships/hyperlink" Target="https://g0v.hackmd.io/Fyg5EQRJQUiCNVgD0Rk41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uadraticvote.radicalxchange.org/vote?user=53df9de4-d5ed-4dc0-8458-98f69cfe2239" TargetMode="External"/><Relationship Id="rId42" Type="http://schemas.openxmlformats.org/officeDocument/2006/relationships/hyperlink" Target="https://quadraticvote.radicalxchange.org/vote?user=fa7e6108-1ed5-41bc-9b25-3b022ef1603e" TargetMode="External"/><Relationship Id="rId41" Type="http://schemas.openxmlformats.org/officeDocument/2006/relationships/hyperlink" Target="https://quadraticvote.radicalxchange.org/vote?user=a4f0136b-c09c-4146-b551-d717abf5697e" TargetMode="External"/><Relationship Id="rId44" Type="http://schemas.openxmlformats.org/officeDocument/2006/relationships/hyperlink" Target="https://quadraticvote.radicalxchange.org/vote?user=69df274d-aed1-40bf-86af-c7db011f591b" TargetMode="External"/><Relationship Id="rId43" Type="http://schemas.openxmlformats.org/officeDocument/2006/relationships/hyperlink" Target="https://quadraticvote.radicalxchange.org/vote?user=9edce945-b203-490a-b25b-8daf161480ba" TargetMode="External"/><Relationship Id="rId46" Type="http://schemas.openxmlformats.org/officeDocument/2006/relationships/hyperlink" Target="https://quadraticvote.radicalxchange.org/vote?user=2fcd5c51-bd9c-428c-95b2-e0098521e792" TargetMode="External"/><Relationship Id="rId45" Type="http://schemas.openxmlformats.org/officeDocument/2006/relationships/hyperlink" Target="https://quadraticvote.radicalxchange.org/vote?user=278d7f1f-428c-4028-a99a-19edd6bcb615" TargetMode="External"/><Relationship Id="rId1" Type="http://schemas.openxmlformats.org/officeDocument/2006/relationships/hyperlink" Target="https://quadraticvote.radicalxchange.org/event?id=55963d66-12f9-44b5-80c5-c4fd2caac031" TargetMode="External"/><Relationship Id="rId2" Type="http://schemas.openxmlformats.org/officeDocument/2006/relationships/hyperlink" Target="https://quadraticvote.radicalxchange.org/vote?user=766ebd06-1744-4437-809e-9315519fa70d" TargetMode="External"/><Relationship Id="rId3" Type="http://schemas.openxmlformats.org/officeDocument/2006/relationships/hyperlink" Target="https://quadraticvote.radicalxchange.org/vote?user=3d7eec32-2577-46c6-9166-ee21a35d6336" TargetMode="External"/><Relationship Id="rId4" Type="http://schemas.openxmlformats.org/officeDocument/2006/relationships/hyperlink" Target="https://quadraticvote.radicalxchange.org/vote?user=e21951d8-8af8-4450-b51c-6fc1ba4af794" TargetMode="External"/><Relationship Id="rId9" Type="http://schemas.openxmlformats.org/officeDocument/2006/relationships/hyperlink" Target="https://quadraticvote.radicalxchange.org/vote?user=2374da6b-4332-42aa-a632-1a02b4cd780b" TargetMode="External"/><Relationship Id="rId48" Type="http://schemas.openxmlformats.org/officeDocument/2006/relationships/hyperlink" Target="https://quadraticvote.radicalxchange.org/vote?user=fcb4b05c-4b2e-4635-9824-991092cebd86" TargetMode="External"/><Relationship Id="rId47" Type="http://schemas.openxmlformats.org/officeDocument/2006/relationships/hyperlink" Target="https://quadraticvote.radicalxchange.org/vote?user=1eec6f71-9913-40ab-ba95-8de3a8d70158" TargetMode="External"/><Relationship Id="rId49" Type="http://schemas.openxmlformats.org/officeDocument/2006/relationships/hyperlink" Target="https://quadraticvote.radicalxchange.org/vote?user=d0eddcfd-7188-4ec7-b9bc-6fb9675b3006" TargetMode="External"/><Relationship Id="rId5" Type="http://schemas.openxmlformats.org/officeDocument/2006/relationships/hyperlink" Target="https://quadraticvote.radicalxchange.org/vote?user=2e641d99-5e5f-486e-9930-a540aaed46fe" TargetMode="External"/><Relationship Id="rId6" Type="http://schemas.openxmlformats.org/officeDocument/2006/relationships/hyperlink" Target="https://quadraticvote.radicalxchange.org/vote?user=a9aafea7-b13f-4d26-97ea-d71da6673505" TargetMode="External"/><Relationship Id="rId7" Type="http://schemas.openxmlformats.org/officeDocument/2006/relationships/hyperlink" Target="https://quadraticvote.radicalxchange.org/vote?user=d483bde2-7bc7-4075-a2a4-57f37a502c70" TargetMode="External"/><Relationship Id="rId8" Type="http://schemas.openxmlformats.org/officeDocument/2006/relationships/hyperlink" Target="https://quadraticvote.radicalxchange.org/vote?user=f37e5b38-d21e-4882-8b4c-8fc03689ef12" TargetMode="External"/><Relationship Id="rId73" Type="http://schemas.openxmlformats.org/officeDocument/2006/relationships/hyperlink" Target="https://quadraticvote.radicalxchange.org/vote?user=f90e2705-0257-43df-904e-39b481a09093" TargetMode="External"/><Relationship Id="rId72" Type="http://schemas.openxmlformats.org/officeDocument/2006/relationships/hyperlink" Target="https://quadraticvote.radicalxchange.org/vote?user=b0897c69-e17f-4914-8ef0-56a7f20de8aa" TargetMode="External"/><Relationship Id="rId31" Type="http://schemas.openxmlformats.org/officeDocument/2006/relationships/hyperlink" Target="https://quadraticvote.radicalxchange.org/vote?user=30738756-3d1d-4eb7-a5e0-369ce11f0153" TargetMode="External"/><Relationship Id="rId75" Type="http://schemas.openxmlformats.org/officeDocument/2006/relationships/hyperlink" Target="https://quadraticvote.radicalxchange.org/vote?user=514bad1d-e3de-44a0-a4cd-ee699e4c4340" TargetMode="External"/><Relationship Id="rId30" Type="http://schemas.openxmlformats.org/officeDocument/2006/relationships/hyperlink" Target="https://quadraticvote.radicalxchange.org/vote?user=fbadc273-6b97-4b02-9d49-3a0af571ed89" TargetMode="External"/><Relationship Id="rId74" Type="http://schemas.openxmlformats.org/officeDocument/2006/relationships/hyperlink" Target="https://quadraticvote.radicalxchange.org/vote?user=c171cba2-d8cb-4e9b-82a8-994539d35d2c" TargetMode="External"/><Relationship Id="rId33" Type="http://schemas.openxmlformats.org/officeDocument/2006/relationships/hyperlink" Target="https://quadraticvote.radicalxchange.org/vote?user=30ac7402-f5dd-45bc-82b3-615915d85bbe" TargetMode="External"/><Relationship Id="rId77" Type="http://schemas.openxmlformats.org/officeDocument/2006/relationships/hyperlink" Target="https://quadraticvote.radicalxchange.org/vote?user=1e593ede-9cc4-4d1a-8293-918aa8dfc8ce" TargetMode="External"/><Relationship Id="rId32" Type="http://schemas.openxmlformats.org/officeDocument/2006/relationships/hyperlink" Target="https://quadraticvote.radicalxchange.org/vote?user=6b624b1d-e7bc-4c4e-bc26-a9ff687fd324" TargetMode="External"/><Relationship Id="rId76" Type="http://schemas.openxmlformats.org/officeDocument/2006/relationships/hyperlink" Target="https://quadraticvote.radicalxchange.org/vote?user=9d4d435c-eb2d-499c-8976-43598aebbfc6" TargetMode="External"/><Relationship Id="rId35" Type="http://schemas.openxmlformats.org/officeDocument/2006/relationships/hyperlink" Target="https://quadraticvote.radicalxchange.org/vote?user=764872e0-d975-4daf-aecb-289ae9044814" TargetMode="External"/><Relationship Id="rId34" Type="http://schemas.openxmlformats.org/officeDocument/2006/relationships/hyperlink" Target="https://quadraticvote.radicalxchange.org/vote?user=ca682365-3263-4eff-a30b-ab4c62ed388e" TargetMode="External"/><Relationship Id="rId78" Type="http://schemas.openxmlformats.org/officeDocument/2006/relationships/drawing" Target="../drawings/drawing4.xml"/><Relationship Id="rId71" Type="http://schemas.openxmlformats.org/officeDocument/2006/relationships/hyperlink" Target="https://quadraticvote.radicalxchange.org/vote?user=06e73c52-3ab0-49ea-8f12-8aec4f11d611" TargetMode="External"/><Relationship Id="rId70" Type="http://schemas.openxmlformats.org/officeDocument/2006/relationships/hyperlink" Target="https://quadraticvote.radicalxchange.org/vote?user=2bf7edb1-2e9f-4464-b4d8-846e9af2ff54" TargetMode="External"/><Relationship Id="rId37" Type="http://schemas.openxmlformats.org/officeDocument/2006/relationships/hyperlink" Target="https://quadraticvote.radicalxchange.org/vote?user=8f6b0ed9-28e3-4935-8743-91d1fc502584" TargetMode="External"/><Relationship Id="rId36" Type="http://schemas.openxmlformats.org/officeDocument/2006/relationships/hyperlink" Target="https://quadraticvote.radicalxchange.org/vote?user=625cecf5-0e79-4179-a0d9-056aa6a7ba38" TargetMode="External"/><Relationship Id="rId39" Type="http://schemas.openxmlformats.org/officeDocument/2006/relationships/hyperlink" Target="https://quadraticvote.radicalxchange.org/vote?user=776019f4-03b6-484c-a252-fb3ac350f99f" TargetMode="External"/><Relationship Id="rId38" Type="http://schemas.openxmlformats.org/officeDocument/2006/relationships/hyperlink" Target="https://quadraticvote.radicalxchange.org/vote?user=571a4919-5747-4da5-bff3-90894ea7db65" TargetMode="External"/><Relationship Id="rId62" Type="http://schemas.openxmlformats.org/officeDocument/2006/relationships/hyperlink" Target="https://quadraticvote.radicalxchange.org/vote?user=e2d4d198-32d3-4051-b555-5646f6706d6a" TargetMode="External"/><Relationship Id="rId61" Type="http://schemas.openxmlformats.org/officeDocument/2006/relationships/hyperlink" Target="https://quadraticvote.radicalxchange.org/vote?user=fc0bc511-7733-4d48-a271-279a83d34df8" TargetMode="External"/><Relationship Id="rId20" Type="http://schemas.openxmlformats.org/officeDocument/2006/relationships/hyperlink" Target="https://quadraticvote.radicalxchange.org/vote?user=7b9881de-fbed-4c42-a8cd-bf5d725fc5ab" TargetMode="External"/><Relationship Id="rId64" Type="http://schemas.openxmlformats.org/officeDocument/2006/relationships/hyperlink" Target="https://quadraticvote.radicalxchange.org/vote?user=d2206171-7c3f-4c63-9518-7e913f8fcb31" TargetMode="External"/><Relationship Id="rId63" Type="http://schemas.openxmlformats.org/officeDocument/2006/relationships/hyperlink" Target="https://quadraticvote.radicalxchange.org/vote?user=55a0856e-4759-445a-957c-b9dbf5b4aa2e" TargetMode="External"/><Relationship Id="rId22" Type="http://schemas.openxmlformats.org/officeDocument/2006/relationships/hyperlink" Target="https://quadraticvote.radicalxchange.org/vote?user=e2b7c2eb-db0a-42b8-a9ce-844d22df7a23" TargetMode="External"/><Relationship Id="rId66" Type="http://schemas.openxmlformats.org/officeDocument/2006/relationships/hyperlink" Target="https://quadraticvote.radicalxchange.org/vote?user=829c0233-1f44-46b3-83fc-6791437fddef" TargetMode="External"/><Relationship Id="rId21" Type="http://schemas.openxmlformats.org/officeDocument/2006/relationships/hyperlink" Target="https://quadraticvote.radicalxchange.org/vote?user=f6e60c1d-c865-4340-895f-4e5a3e3dfadb" TargetMode="External"/><Relationship Id="rId65" Type="http://schemas.openxmlformats.org/officeDocument/2006/relationships/hyperlink" Target="https://quadraticvote.radicalxchange.org/vote?user=92fe2340-5bb7-46ce-8498-d29ef1cf6d60" TargetMode="External"/><Relationship Id="rId24" Type="http://schemas.openxmlformats.org/officeDocument/2006/relationships/hyperlink" Target="https://quadraticvote.radicalxchange.org/vote?user=8e1428d1-50b5-4ad8-81f8-07bdc1beee93" TargetMode="External"/><Relationship Id="rId68" Type="http://schemas.openxmlformats.org/officeDocument/2006/relationships/hyperlink" Target="https://quadraticvote.radicalxchange.org/vote?user=3ffb8fec-1eb3-4158-aade-f02b361b3a9f" TargetMode="External"/><Relationship Id="rId23" Type="http://schemas.openxmlformats.org/officeDocument/2006/relationships/hyperlink" Target="https://quadraticvote.radicalxchange.org/vote?user=64f9c970-8193-4a3b-9b5d-2ebadd20f1bd" TargetMode="External"/><Relationship Id="rId67" Type="http://schemas.openxmlformats.org/officeDocument/2006/relationships/hyperlink" Target="https://quadraticvote.radicalxchange.org/vote?user=f0898170-3fef-42ab-9207-ca1cbf856cdd" TargetMode="External"/><Relationship Id="rId60" Type="http://schemas.openxmlformats.org/officeDocument/2006/relationships/hyperlink" Target="https://quadraticvote.radicalxchange.org/vote?user=1892f9f4-b736-443b-81d3-f8e32b848def" TargetMode="External"/><Relationship Id="rId26" Type="http://schemas.openxmlformats.org/officeDocument/2006/relationships/hyperlink" Target="https://quadraticvote.radicalxchange.org/vote?user=c88d4877-996b-4a13-9447-9e989257c669" TargetMode="External"/><Relationship Id="rId25" Type="http://schemas.openxmlformats.org/officeDocument/2006/relationships/hyperlink" Target="https://quadraticvote.radicalxchange.org/vote?user=d24507a9-3cb0-4c0c-bce6-96ef2e5dc18f" TargetMode="External"/><Relationship Id="rId69" Type="http://schemas.openxmlformats.org/officeDocument/2006/relationships/hyperlink" Target="https://quadraticvote.radicalxchange.org/vote?user=819059ff-f596-49a6-a817-2f0ef442deee" TargetMode="External"/><Relationship Id="rId28" Type="http://schemas.openxmlformats.org/officeDocument/2006/relationships/hyperlink" Target="https://quadraticvote.radicalxchange.org/vote?user=5c3b44d9-8ecd-4b99-86d3-9c4b850a8374" TargetMode="External"/><Relationship Id="rId27" Type="http://schemas.openxmlformats.org/officeDocument/2006/relationships/hyperlink" Target="https://quadraticvote.radicalxchange.org/vote?user=e5ebab67-95a7-4764-8faa-8349a4859aaa" TargetMode="External"/><Relationship Id="rId29" Type="http://schemas.openxmlformats.org/officeDocument/2006/relationships/hyperlink" Target="https://quadraticvote.radicalxchange.org/vote?user=5953465b-5b3c-4eb5-9c8c-dd817fe6ab71" TargetMode="External"/><Relationship Id="rId51" Type="http://schemas.openxmlformats.org/officeDocument/2006/relationships/hyperlink" Target="https://quadraticvote.radicalxchange.org/vote?user=15ad8ed9-060c-4e4e-9e7c-10514862d441" TargetMode="External"/><Relationship Id="rId50" Type="http://schemas.openxmlformats.org/officeDocument/2006/relationships/hyperlink" Target="https://quadraticvote.radicalxchange.org/vote?user=975fe7a0-00a0-4375-867c-4f4a6ff90883" TargetMode="External"/><Relationship Id="rId53" Type="http://schemas.openxmlformats.org/officeDocument/2006/relationships/hyperlink" Target="https://quadraticvote.radicalxchange.org/vote?user=4b411079-c0d7-4f63-8f2e-979208d7b476" TargetMode="External"/><Relationship Id="rId52" Type="http://schemas.openxmlformats.org/officeDocument/2006/relationships/hyperlink" Target="https://quadraticvote.radicalxchange.org/vote?user=4669791c-91d1-40a5-8de3-15ec77559a09" TargetMode="External"/><Relationship Id="rId11" Type="http://schemas.openxmlformats.org/officeDocument/2006/relationships/hyperlink" Target="https://quadraticvote.radicalxchange.org/vote?user=b15c04f2-3b4c-4726-b4d7-706f7f9f70a8" TargetMode="External"/><Relationship Id="rId55" Type="http://schemas.openxmlformats.org/officeDocument/2006/relationships/hyperlink" Target="https://quadraticvote.radicalxchange.org/vote?user=28fdc285-90e8-4d80-a306-4f54d07c4b5f" TargetMode="External"/><Relationship Id="rId10" Type="http://schemas.openxmlformats.org/officeDocument/2006/relationships/hyperlink" Target="https://quadraticvote.radicalxchange.org/vote?user=3485e934-10b9-4ff4-b3b7-96bdc54f34b6" TargetMode="External"/><Relationship Id="rId54" Type="http://schemas.openxmlformats.org/officeDocument/2006/relationships/hyperlink" Target="https://quadraticvote.radicalxchange.org/vote?user=826255d0-0a88-4ffa-b232-996323edc729" TargetMode="External"/><Relationship Id="rId13" Type="http://schemas.openxmlformats.org/officeDocument/2006/relationships/hyperlink" Target="https://quadraticvote.radicalxchange.org/vote?user=d90ee625-8716-4520-81d6-7129bd392b8f" TargetMode="External"/><Relationship Id="rId57" Type="http://schemas.openxmlformats.org/officeDocument/2006/relationships/hyperlink" Target="https://quadraticvote.radicalxchange.org/vote?user=01a589e6-cd0f-4eae-8c68-fcdb34b0435f" TargetMode="External"/><Relationship Id="rId12" Type="http://schemas.openxmlformats.org/officeDocument/2006/relationships/hyperlink" Target="https://quadraticvote.radicalxchange.org/vote?user=547d6035-15f8-418a-85a7-ad33a3a4b84f" TargetMode="External"/><Relationship Id="rId56" Type="http://schemas.openxmlformats.org/officeDocument/2006/relationships/hyperlink" Target="https://quadraticvote.radicalxchange.org/vote?user=2d0012f6-9b3e-45e9-8409-b6156de6087d" TargetMode="External"/><Relationship Id="rId15" Type="http://schemas.openxmlformats.org/officeDocument/2006/relationships/hyperlink" Target="https://quadraticvote.radicalxchange.org/vote?user=4c778b18-2db3-45ed-9b02-05cba7430b1a" TargetMode="External"/><Relationship Id="rId59" Type="http://schemas.openxmlformats.org/officeDocument/2006/relationships/hyperlink" Target="https://quadraticvote.radicalxchange.org/vote?user=9f8a23bd-f2f6-4e21-89c9-01ced31131ba" TargetMode="External"/><Relationship Id="rId14" Type="http://schemas.openxmlformats.org/officeDocument/2006/relationships/hyperlink" Target="https://quadraticvote.radicalxchange.org/vote?user=802cd15b-5bb6-400c-9623-d05a6cca4770" TargetMode="External"/><Relationship Id="rId58" Type="http://schemas.openxmlformats.org/officeDocument/2006/relationships/hyperlink" Target="https://quadraticvote.radicalxchange.org/vote?user=d0536b69-5c5c-4f21-8314-74e40801ed3b" TargetMode="External"/><Relationship Id="rId17" Type="http://schemas.openxmlformats.org/officeDocument/2006/relationships/hyperlink" Target="https://quadraticvote.radicalxchange.org/vote?user=1ecdacb6-8542-4dc0-ae8d-f0bb98fe50a8" TargetMode="External"/><Relationship Id="rId16" Type="http://schemas.openxmlformats.org/officeDocument/2006/relationships/hyperlink" Target="https://quadraticvote.radicalxchange.org/vote?user=21b2350b-53a3-4472-85e7-c0a437a4ea58" TargetMode="External"/><Relationship Id="rId19" Type="http://schemas.openxmlformats.org/officeDocument/2006/relationships/hyperlink" Target="https://quadraticvote.radicalxchange.org/vote?user=3c26cabe-9cd6-4e6a-a9da-19263587bc1c" TargetMode="External"/><Relationship Id="rId18" Type="http://schemas.openxmlformats.org/officeDocument/2006/relationships/hyperlink" Target="https://quadraticvote.radicalxchange.org/vote?user=63b0b7e8-c04f-453e-9420-b6ec98a882e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dfBB8RXHBfA52Y_QYMcoRu2HpHEEzLoEVcPnLkzFZMg/edit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16.13"/>
    <col customWidth="1" min="4" max="4" width="9.75"/>
    <col customWidth="1" min="5" max="5" width="6.13"/>
    <col customWidth="1" min="6" max="6" width="16.38"/>
    <col customWidth="1" min="7" max="7" width="28.13"/>
    <col customWidth="1" min="8" max="8" width="12.0"/>
    <col customWidth="1" min="9" max="9" width="14.5"/>
    <col customWidth="1" min="10" max="10" width="13.75"/>
    <col customWidth="1" min="11" max="11" width="12.0"/>
    <col customWidth="1" min="12" max="12" width="23.25"/>
    <col customWidth="1" min="13" max="13" width="28.38"/>
    <col customWidth="1" min="14" max="14" width="17.5"/>
    <col customWidth="1" min="15" max="15" width="21.0"/>
    <col customWidth="1" min="16" max="17" width="22.5"/>
    <col customWidth="1" min="18" max="18" width="15.5"/>
    <col customWidth="1" min="19" max="20" width="18.13"/>
  </cols>
  <sheetData>
    <row r="1" ht="23.25" hidden="1" customHeight="1">
      <c r="A1" s="1"/>
      <c r="Q1" s="1"/>
      <c r="R1" s="2"/>
      <c r="S1" s="2"/>
      <c r="T1" s="2"/>
    </row>
    <row r="2" ht="15.0" customHeight="1">
      <c r="A2" s="3"/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5" t="s">
        <v>7</v>
      </c>
      <c r="J2" s="3" t="s">
        <v>8</v>
      </c>
      <c r="K2" s="6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7" t="s">
        <v>17</v>
      </c>
      <c r="T2" s="3" t="s">
        <v>18</v>
      </c>
    </row>
    <row r="3" ht="15.0" customHeight="1">
      <c r="A3" s="8" t="s">
        <v>19</v>
      </c>
      <c r="T3" s="8"/>
    </row>
    <row r="4" ht="15.0" customHeight="1">
      <c r="A4" s="9" t="s">
        <v>20</v>
      </c>
      <c r="Q4" s="9"/>
      <c r="R4" s="9"/>
      <c r="S4" s="9"/>
      <c r="T4" s="10"/>
    </row>
    <row r="5" ht="15.0" customHeight="1">
      <c r="A5" s="11">
        <v>1.0</v>
      </c>
      <c r="B5" s="12">
        <v>0.4027777777777778</v>
      </c>
      <c r="C5" s="13" t="s">
        <v>21</v>
      </c>
      <c r="D5" s="13" t="s">
        <v>22</v>
      </c>
      <c r="E5" s="14" t="s">
        <v>23</v>
      </c>
      <c r="F5" s="13" t="s">
        <v>24</v>
      </c>
      <c r="G5" s="13" t="s">
        <v>25</v>
      </c>
      <c r="H5" s="13" t="s">
        <v>26</v>
      </c>
      <c r="I5" s="15" t="s">
        <v>27</v>
      </c>
      <c r="J5" s="16"/>
      <c r="K5" s="15" t="s">
        <v>28</v>
      </c>
      <c r="L5" s="17" t="s">
        <v>29</v>
      </c>
      <c r="M5" s="17" t="s">
        <v>30</v>
      </c>
      <c r="N5" s="18" t="s">
        <v>28</v>
      </c>
      <c r="O5" s="13" t="s">
        <v>31</v>
      </c>
      <c r="P5" s="13"/>
      <c r="Q5" s="13" t="s">
        <v>32</v>
      </c>
      <c r="R5" s="13"/>
      <c r="S5" s="19"/>
      <c r="T5" s="20" t="str">
        <f t="shared" ref="T5:T21" si="1">"g0v tw hackath64n — 提案 — "&amp;F5&amp;" ／ "&amp;C5&amp;" — 黃金比例黑客松"</f>
        <v>g0v tw hackath64n — 提案 — 拉人更輕鬆 ／ Jas/ Yvonne — 黃金比例黑客松</v>
      </c>
    </row>
    <row r="6" ht="15.0" customHeight="1">
      <c r="A6" s="21">
        <v>2.0</v>
      </c>
      <c r="B6" s="12">
        <v>0.4048611111111111</v>
      </c>
      <c r="C6" s="22" t="s">
        <v>33</v>
      </c>
      <c r="D6" s="13" t="s">
        <v>22</v>
      </c>
      <c r="E6" s="14" t="s">
        <v>23</v>
      </c>
      <c r="F6" s="13" t="s">
        <v>34</v>
      </c>
      <c r="G6" s="13" t="s">
        <v>35</v>
      </c>
      <c r="H6" s="13"/>
      <c r="I6" s="15" t="s">
        <v>36</v>
      </c>
      <c r="J6" s="15"/>
      <c r="K6" s="15" t="s">
        <v>23</v>
      </c>
      <c r="L6" s="23" t="s">
        <v>37</v>
      </c>
      <c r="M6" s="17" t="s">
        <v>38</v>
      </c>
      <c r="N6" s="18"/>
      <c r="O6" s="13"/>
      <c r="P6" s="13"/>
      <c r="Q6" s="13"/>
      <c r="R6" s="13"/>
      <c r="S6" s="19"/>
      <c r="T6" s="20" t="str">
        <f t="shared" si="1"/>
        <v>g0v tw hackath64n — 提案 — GAI Conf ／ ichieh — 黃金比例黑客松</v>
      </c>
    </row>
    <row r="7" ht="22.5" customHeight="1">
      <c r="A7" s="11">
        <v>3.0</v>
      </c>
      <c r="B7" s="24">
        <v>0.40694444444444444</v>
      </c>
      <c r="C7" s="22" t="s">
        <v>39</v>
      </c>
      <c r="D7" s="25" t="s">
        <v>22</v>
      </c>
      <c r="E7" s="26" t="s">
        <v>28</v>
      </c>
      <c r="F7" s="22" t="s">
        <v>40</v>
      </c>
      <c r="G7" s="22" t="s">
        <v>41</v>
      </c>
      <c r="H7" s="25"/>
      <c r="I7" s="27" t="s">
        <v>28</v>
      </c>
      <c r="J7" s="28" t="s">
        <v>42</v>
      </c>
      <c r="K7" s="27" t="s">
        <v>28</v>
      </c>
      <c r="L7" s="29"/>
      <c r="M7" s="30" t="s">
        <v>43</v>
      </c>
      <c r="N7" s="31" t="s">
        <v>28</v>
      </c>
      <c r="O7" s="25" t="s">
        <v>44</v>
      </c>
      <c r="P7" s="25" t="s">
        <v>45</v>
      </c>
      <c r="Q7" s="25" t="s">
        <v>46</v>
      </c>
      <c r="R7" s="25"/>
      <c r="S7" s="32"/>
      <c r="T7" s="20" t="str">
        <f t="shared" si="1"/>
        <v>g0v tw hackath64n — 提案 — Shoutout ／ Stanley — 黃金比例黑客松</v>
      </c>
    </row>
    <row r="8" ht="15.0" customHeight="1">
      <c r="A8" s="21">
        <v>4.0</v>
      </c>
      <c r="B8" s="12">
        <v>0.40902777777777777</v>
      </c>
      <c r="C8" s="13" t="s">
        <v>47</v>
      </c>
      <c r="D8" s="13" t="s">
        <v>22</v>
      </c>
      <c r="E8" s="14" t="s">
        <v>23</v>
      </c>
      <c r="F8" s="22" t="s">
        <v>47</v>
      </c>
      <c r="G8" s="22" t="s">
        <v>48</v>
      </c>
      <c r="H8" s="13" t="s">
        <v>26</v>
      </c>
      <c r="I8" s="15" t="s">
        <v>36</v>
      </c>
      <c r="J8" s="15"/>
      <c r="K8" s="15" t="s">
        <v>23</v>
      </c>
      <c r="L8" s="23" t="s">
        <v>49</v>
      </c>
      <c r="M8" s="33" t="s">
        <v>50</v>
      </c>
      <c r="N8" s="18" t="s">
        <v>28</v>
      </c>
      <c r="O8" s="13" t="s">
        <v>51</v>
      </c>
      <c r="P8" s="13" t="s">
        <v>52</v>
      </c>
      <c r="Q8" s="17" t="s">
        <v>53</v>
      </c>
      <c r="R8" s="19"/>
      <c r="S8" s="19"/>
      <c r="T8" s="20" t="str">
        <f t="shared" si="1"/>
        <v>g0v tw hackath64n — 提案 — irvin ／ irvin — 黃金比例黑客松</v>
      </c>
    </row>
    <row r="9" ht="15.0" customHeight="1">
      <c r="A9" s="21">
        <v>5.0</v>
      </c>
      <c r="B9" s="12">
        <v>0.4111111111111111</v>
      </c>
      <c r="C9" s="13" t="s">
        <v>54</v>
      </c>
      <c r="D9" s="13" t="s">
        <v>22</v>
      </c>
      <c r="E9" s="14" t="s">
        <v>28</v>
      </c>
      <c r="F9" s="22" t="s">
        <v>55</v>
      </c>
      <c r="G9" s="34" t="s">
        <v>56</v>
      </c>
      <c r="H9" s="35" t="s">
        <v>57</v>
      </c>
      <c r="I9" s="15" t="s">
        <v>28</v>
      </c>
      <c r="J9" s="15"/>
      <c r="K9" s="15" t="s">
        <v>23</v>
      </c>
      <c r="L9" s="17" t="s">
        <v>58</v>
      </c>
      <c r="M9" s="23" t="s">
        <v>59</v>
      </c>
      <c r="N9" s="18" t="s">
        <v>28</v>
      </c>
      <c r="O9" s="13"/>
      <c r="P9" s="13"/>
      <c r="Q9" s="13"/>
      <c r="R9" s="13"/>
      <c r="S9" s="19"/>
      <c r="T9" s="20" t="str">
        <f t="shared" si="1"/>
        <v>g0v tw hackath64n — 提案 — digiresithon ／ Paul — 黃金比例黑客松</v>
      </c>
    </row>
    <row r="10" ht="15.0" customHeight="1">
      <c r="A10" s="21">
        <v>6.0</v>
      </c>
      <c r="B10" s="12">
        <v>0.4131944444444444</v>
      </c>
      <c r="C10" s="22" t="s">
        <v>60</v>
      </c>
      <c r="D10" s="13" t="s">
        <v>22</v>
      </c>
      <c r="E10" s="14" t="s">
        <v>28</v>
      </c>
      <c r="F10" s="22" t="s">
        <v>61</v>
      </c>
      <c r="G10" s="13"/>
      <c r="H10" s="13" t="s">
        <v>62</v>
      </c>
      <c r="I10" s="15" t="s">
        <v>28</v>
      </c>
      <c r="J10" s="36" t="s">
        <v>63</v>
      </c>
      <c r="K10" s="15" t="s">
        <v>28</v>
      </c>
      <c r="L10" s="23" t="s">
        <v>64</v>
      </c>
      <c r="M10" s="23" t="s">
        <v>65</v>
      </c>
      <c r="N10" s="31" t="s">
        <v>28</v>
      </c>
      <c r="O10" s="37" t="s">
        <v>66</v>
      </c>
      <c r="P10" s="13" t="s">
        <v>67</v>
      </c>
      <c r="Q10" s="13" t="s">
        <v>68</v>
      </c>
      <c r="R10" s="17" t="s">
        <v>69</v>
      </c>
      <c r="S10" s="19"/>
      <c r="T10" s="20" t="str">
        <f t="shared" si="1"/>
        <v>g0v tw hackath64n — 提案 — Linux Odyssey ／ Annie  — 黃金比例黑客松</v>
      </c>
    </row>
    <row r="11" ht="18.0" customHeight="1">
      <c r="A11" s="21">
        <v>7.0</v>
      </c>
      <c r="B11" s="12">
        <v>0.4152777777777778</v>
      </c>
      <c r="C11" s="22" t="s">
        <v>70</v>
      </c>
      <c r="D11" s="13" t="s">
        <v>22</v>
      </c>
      <c r="E11" s="14" t="s">
        <v>28</v>
      </c>
      <c r="F11" s="22" t="s">
        <v>71</v>
      </c>
      <c r="G11" s="22" t="s">
        <v>72</v>
      </c>
      <c r="H11" s="13" t="s">
        <v>73</v>
      </c>
      <c r="I11" s="15" t="s">
        <v>28</v>
      </c>
      <c r="J11" s="38" t="s">
        <v>74</v>
      </c>
      <c r="K11" s="15" t="s">
        <v>28</v>
      </c>
      <c r="L11" s="23" t="s">
        <v>75</v>
      </c>
      <c r="M11" s="23" t="s">
        <v>76</v>
      </c>
      <c r="N11" s="31" t="s">
        <v>28</v>
      </c>
      <c r="O11" s="21" t="s">
        <v>77</v>
      </c>
      <c r="P11" s="13" t="s">
        <v>78</v>
      </c>
      <c r="Q11" s="13" t="s">
        <v>79</v>
      </c>
      <c r="R11" s="13"/>
      <c r="S11" s="19"/>
      <c r="T11" s="20" t="str">
        <f t="shared" si="1"/>
        <v>g0v tw hackath64n — 提案 — Collage ／ chewei — 黃金比例黑客松</v>
      </c>
    </row>
    <row r="12" ht="15.0" customHeight="1">
      <c r="A12" s="21">
        <v>8.0</v>
      </c>
      <c r="B12" s="12">
        <v>0.4173611111111111</v>
      </c>
      <c r="C12" s="13" t="s">
        <v>80</v>
      </c>
      <c r="D12" s="13" t="s">
        <v>22</v>
      </c>
      <c r="E12" s="14"/>
      <c r="F12" s="13" t="s">
        <v>81</v>
      </c>
      <c r="G12" s="13" t="s">
        <v>82</v>
      </c>
      <c r="H12" s="13" t="s">
        <v>83</v>
      </c>
      <c r="I12" s="15"/>
      <c r="J12" s="15"/>
      <c r="K12" s="15" t="s">
        <v>28</v>
      </c>
      <c r="L12" s="39"/>
      <c r="M12" s="23" t="s">
        <v>84</v>
      </c>
      <c r="N12" s="40"/>
      <c r="O12" s="13" t="s">
        <v>85</v>
      </c>
      <c r="P12" s="13" t="s">
        <v>86</v>
      </c>
      <c r="Q12" s="13" t="s">
        <v>87</v>
      </c>
      <c r="R12" s="13"/>
      <c r="S12" s="19"/>
      <c r="T12" s="20" t="str">
        <f t="shared" si="1"/>
        <v>g0v tw hackath64n — 提案 — AgriPuzzle ／ aokman — 黃金比例黑客松</v>
      </c>
    </row>
    <row r="13" ht="15.0" customHeight="1">
      <c r="A13" s="21">
        <v>9.0</v>
      </c>
      <c r="B13" s="12">
        <v>0.41944444444444445</v>
      </c>
      <c r="C13" s="22" t="s">
        <v>88</v>
      </c>
      <c r="D13" s="13" t="s">
        <v>22</v>
      </c>
      <c r="E13" s="14"/>
      <c r="F13" s="22" t="s">
        <v>89</v>
      </c>
      <c r="G13" s="17" t="s">
        <v>90</v>
      </c>
      <c r="H13" s="13" t="s">
        <v>26</v>
      </c>
      <c r="I13" s="15" t="s">
        <v>91</v>
      </c>
      <c r="J13" s="15"/>
      <c r="K13" s="15" t="s">
        <v>28</v>
      </c>
      <c r="L13" s="23" t="s">
        <v>92</v>
      </c>
      <c r="M13" s="41" t="s">
        <v>93</v>
      </c>
      <c r="N13" s="18"/>
      <c r="O13" s="13" t="s">
        <v>94</v>
      </c>
      <c r="P13" s="13" t="s">
        <v>95</v>
      </c>
      <c r="Q13" s="13" t="s">
        <v>96</v>
      </c>
      <c r="R13" s="13"/>
      <c r="S13" s="19"/>
      <c r="T13" s="20" t="str">
        <f t="shared" si="1"/>
        <v>g0v tw hackath64n — 提案 — 拉人更輕鬆／基礎松 ／ SeanGau, Jas — 黃金比例黑客松</v>
      </c>
    </row>
    <row r="14" ht="15.0" customHeight="1">
      <c r="A14" s="21">
        <v>10.0</v>
      </c>
      <c r="B14" s="12">
        <v>0.4215277777777778</v>
      </c>
      <c r="C14" s="42" t="s">
        <v>97</v>
      </c>
      <c r="D14" s="13" t="s">
        <v>22</v>
      </c>
      <c r="E14" s="14"/>
      <c r="F14" s="22" t="s">
        <v>98</v>
      </c>
      <c r="G14" s="22" t="s">
        <v>99</v>
      </c>
      <c r="H14" s="43" t="s">
        <v>100</v>
      </c>
      <c r="I14" s="15" t="s">
        <v>91</v>
      </c>
      <c r="J14" s="15"/>
      <c r="K14" s="15" t="s">
        <v>23</v>
      </c>
      <c r="L14" s="44" t="s">
        <v>101</v>
      </c>
      <c r="M14" s="44" t="s">
        <v>102</v>
      </c>
      <c r="N14" s="40" t="s">
        <v>28</v>
      </c>
      <c r="O14" s="13" t="s">
        <v>103</v>
      </c>
      <c r="P14" s="13"/>
      <c r="Q14" s="13"/>
      <c r="R14" s="13"/>
      <c r="S14" s="19"/>
      <c r="T14" s="20" t="str">
        <f t="shared" si="1"/>
        <v>g0v tw hackath64n — 提案 — vtaiwan  ／ peter  — 黃金比例黑客松</v>
      </c>
    </row>
    <row r="15" ht="15.0" customHeight="1">
      <c r="A15" s="21">
        <v>11.0</v>
      </c>
      <c r="B15" s="12">
        <v>0.4236111111111111</v>
      </c>
      <c r="C15" s="42" t="s">
        <v>104</v>
      </c>
      <c r="D15" s="13" t="s">
        <v>22</v>
      </c>
      <c r="E15" s="14"/>
      <c r="F15" s="22" t="s">
        <v>105</v>
      </c>
      <c r="G15" s="22" t="s">
        <v>106</v>
      </c>
      <c r="H15" s="13" t="s">
        <v>107</v>
      </c>
      <c r="I15" s="15" t="s">
        <v>91</v>
      </c>
      <c r="J15" s="15"/>
      <c r="K15" s="15" t="s">
        <v>28</v>
      </c>
      <c r="L15" s="39"/>
      <c r="M15" s="45" t="s">
        <v>108</v>
      </c>
      <c r="N15" s="31" t="s">
        <v>28</v>
      </c>
      <c r="O15" s="13" t="s">
        <v>109</v>
      </c>
      <c r="P15" s="13" t="s">
        <v>110</v>
      </c>
      <c r="Q15" s="13"/>
      <c r="R15" s="13"/>
      <c r="S15" s="19"/>
      <c r="T15" s="20" t="str">
        <f t="shared" si="1"/>
        <v>g0v tw hackath64n — 提案 — DPIP防災資訊整合平台 ／ yuyu1015 — 黃金比例黑客松</v>
      </c>
    </row>
    <row r="16" ht="15.0" customHeight="1">
      <c r="A16" s="21">
        <v>12.0</v>
      </c>
      <c r="B16" s="12">
        <v>0.42569444444444443</v>
      </c>
      <c r="C16" s="46" t="s">
        <v>111</v>
      </c>
      <c r="D16" s="13" t="s">
        <v>22</v>
      </c>
      <c r="E16" s="14"/>
      <c r="F16" s="47" t="s">
        <v>112</v>
      </c>
      <c r="G16" s="48" t="s">
        <v>113</v>
      </c>
      <c r="H16" s="49" t="s">
        <v>114</v>
      </c>
      <c r="I16" s="50" t="s">
        <v>91</v>
      </c>
      <c r="J16" s="51"/>
      <c r="K16" s="52" t="s">
        <v>28</v>
      </c>
      <c r="L16" s="53" t="s">
        <v>115</v>
      </c>
      <c r="M16" s="54" t="s">
        <v>116</v>
      </c>
      <c r="N16" s="55" t="s">
        <v>28</v>
      </c>
      <c r="O16" s="47" t="s">
        <v>117</v>
      </c>
      <c r="P16" s="47" t="s">
        <v>118</v>
      </c>
      <c r="Q16" s="47" t="s">
        <v>119</v>
      </c>
      <c r="R16" s="56" t="str">
        <f>"g0v tw hackath62n — 提案 — "&amp;F16&amp;" ／ "&amp;C16&amp;" —  帶我去月球黑客松"</f>
        <v>g0v tw hackath62n — 提案 — Cofacts 真的假的 &amp; Open165 ／ bil —  帶我去月球黑客松</v>
      </c>
      <c r="S16" s="19"/>
      <c r="T16" s="20" t="str">
        <f t="shared" si="1"/>
        <v>g0v tw hackath64n — 提案 — Cofacts 真的假的 &amp; Open165 ／ bil — 黃金比例黑客松</v>
      </c>
    </row>
    <row r="17" ht="15.0" customHeight="1">
      <c r="A17" s="21">
        <v>13.0</v>
      </c>
      <c r="B17" s="12">
        <v>0.42777777777777776</v>
      </c>
      <c r="C17" s="57" t="s">
        <v>120</v>
      </c>
      <c r="D17" s="13" t="s">
        <v>22</v>
      </c>
      <c r="E17" s="58" t="s">
        <v>28</v>
      </c>
      <c r="F17" s="57" t="s">
        <v>121</v>
      </c>
      <c r="G17" s="57" t="s">
        <v>122</v>
      </c>
      <c r="H17" s="15" t="s">
        <v>26</v>
      </c>
      <c r="I17" s="15" t="s">
        <v>91</v>
      </c>
      <c r="J17" s="15"/>
      <c r="K17" s="15" t="s">
        <v>28</v>
      </c>
      <c r="L17" s="59" t="s">
        <v>123</v>
      </c>
      <c r="M17" s="23" t="s">
        <v>124</v>
      </c>
      <c r="N17" s="18" t="s">
        <v>28</v>
      </c>
      <c r="O17" s="13" t="s">
        <v>125</v>
      </c>
      <c r="P17" s="13" t="s">
        <v>126</v>
      </c>
      <c r="Q17" s="22" t="s">
        <v>127</v>
      </c>
      <c r="R17" s="13"/>
      <c r="S17" s="44" t="s">
        <v>128</v>
      </c>
      <c r="T17" s="20" t="str">
        <f t="shared" si="1"/>
        <v>g0v tw hackath64n — 提案 — Top-Ten-LiFaYuan ／ Luphia — 黃金比例黑客松</v>
      </c>
    </row>
    <row r="18" ht="15.0" customHeight="1">
      <c r="A18" s="21">
        <v>14.0</v>
      </c>
      <c r="B18" s="12">
        <v>0.42986111111111114</v>
      </c>
      <c r="C18" s="22" t="s">
        <v>129</v>
      </c>
      <c r="D18" s="13" t="s">
        <v>22</v>
      </c>
      <c r="E18" s="14"/>
      <c r="F18" s="22" t="s">
        <v>130</v>
      </c>
      <c r="G18" s="22" t="s">
        <v>131</v>
      </c>
      <c r="H18" s="13" t="s">
        <v>132</v>
      </c>
      <c r="I18" s="15" t="s">
        <v>36</v>
      </c>
      <c r="J18" s="15"/>
      <c r="K18" s="15" t="s">
        <v>23</v>
      </c>
      <c r="L18" s="19"/>
      <c r="M18" s="23" t="s">
        <v>133</v>
      </c>
      <c r="N18" s="40" t="s">
        <v>28</v>
      </c>
      <c r="O18" s="13" t="s">
        <v>134</v>
      </c>
      <c r="P18" s="13" t="s">
        <v>135</v>
      </c>
      <c r="Q18" s="13" t="s">
        <v>136</v>
      </c>
      <c r="R18" s="13"/>
      <c r="S18" s="19"/>
      <c r="T18" s="20" t="str">
        <f t="shared" si="1"/>
        <v>g0v tw hackath64n — 提案 — HRJust ／ slc — 黃金比例黑客松</v>
      </c>
    </row>
    <row r="19" ht="15.0" customHeight="1">
      <c r="A19" s="21">
        <v>15.0</v>
      </c>
      <c r="B19" s="12">
        <v>0.43194444444444446</v>
      </c>
      <c r="C19" s="22" t="s">
        <v>137</v>
      </c>
      <c r="D19" s="13" t="s">
        <v>22</v>
      </c>
      <c r="E19" s="14"/>
      <c r="F19" s="22" t="s">
        <v>138</v>
      </c>
      <c r="G19" s="22" t="s">
        <v>139</v>
      </c>
      <c r="H19" s="43" t="s">
        <v>83</v>
      </c>
      <c r="I19" s="43" t="s">
        <v>91</v>
      </c>
      <c r="J19" s="43"/>
      <c r="K19" s="43" t="s">
        <v>140</v>
      </c>
      <c r="L19" s="60" t="s">
        <v>141</v>
      </c>
      <c r="M19" s="23" t="s">
        <v>142</v>
      </c>
      <c r="N19" s="40" t="s">
        <v>28</v>
      </c>
      <c r="O19" s="13" t="s">
        <v>143</v>
      </c>
      <c r="P19" s="13" t="s">
        <v>144</v>
      </c>
      <c r="Q19" s="13" t="s">
        <v>145</v>
      </c>
      <c r="R19" s="13"/>
      <c r="S19" s="19"/>
      <c r="T19" s="20" t="str">
        <f t="shared" si="1"/>
        <v>g0v tw hackath64n — 提案 — OpenDiplomacy ／ Kapibara — 黃金比例黑客松</v>
      </c>
    </row>
    <row r="20" ht="15.0" customHeight="1">
      <c r="A20" s="13"/>
      <c r="B20" s="12"/>
      <c r="C20" s="61" t="s">
        <v>146</v>
      </c>
      <c r="D20" s="13"/>
      <c r="E20" s="14"/>
      <c r="F20" s="13"/>
      <c r="G20" s="13"/>
      <c r="H20" s="13"/>
      <c r="I20" s="15"/>
      <c r="J20" s="15"/>
      <c r="K20" s="15"/>
      <c r="L20" s="13"/>
      <c r="M20" s="13"/>
      <c r="N20" s="40"/>
      <c r="O20" s="13"/>
      <c r="P20" s="13"/>
      <c r="Q20" s="13"/>
      <c r="R20" s="13"/>
      <c r="S20" s="19"/>
      <c r="T20" s="20" t="str">
        <f t="shared" si="1"/>
        <v>g0v tw hackath64n — 提案 —  ／ == 截止 == — 黃金比例黑客松</v>
      </c>
    </row>
    <row r="21" ht="15.0" customHeight="1">
      <c r="A21" s="13"/>
      <c r="B21" s="12"/>
      <c r="C21" s="15"/>
      <c r="D21" s="13"/>
      <c r="E21" s="14"/>
      <c r="F21" s="13"/>
      <c r="G21" s="13"/>
      <c r="H21" s="13"/>
      <c r="I21" s="15"/>
      <c r="J21" s="15"/>
      <c r="K21" s="15"/>
      <c r="L21" s="13"/>
      <c r="M21" s="13"/>
      <c r="N21" s="40"/>
      <c r="O21" s="13"/>
      <c r="P21" s="13"/>
      <c r="Q21" s="13"/>
      <c r="R21" s="13"/>
      <c r="S21" s="19"/>
      <c r="T21" s="20" t="str">
        <f t="shared" si="1"/>
        <v>g0v tw hackath64n — 提案 —  ／  — 黃金比例黑客松</v>
      </c>
    </row>
    <row r="22" ht="15.0" customHeight="1">
      <c r="A22" s="8" t="s">
        <v>147</v>
      </c>
      <c r="T22" s="62"/>
    </row>
    <row r="23" ht="15.0" customHeight="1">
      <c r="A23" s="13"/>
      <c r="B23" s="12"/>
      <c r="C23" s="13"/>
      <c r="D23" s="13"/>
      <c r="E23" s="14"/>
      <c r="F23" s="13"/>
      <c r="G23" s="13"/>
      <c r="H23" s="13"/>
      <c r="I23" s="15"/>
      <c r="J23" s="15"/>
      <c r="K23" s="15"/>
      <c r="L23" s="13"/>
      <c r="M23" s="13"/>
      <c r="N23" s="40"/>
      <c r="O23" s="13"/>
      <c r="P23" s="13"/>
      <c r="Q23" s="13"/>
      <c r="R23" s="13"/>
      <c r="S23" s="19"/>
      <c r="T23" s="19"/>
    </row>
    <row r="24" ht="15.0" customHeight="1">
      <c r="A24" s="8" t="s">
        <v>148</v>
      </c>
      <c r="T24" s="62"/>
    </row>
    <row r="25" ht="15.0" customHeight="1">
      <c r="A25" s="7" t="s">
        <v>149</v>
      </c>
      <c r="B25" s="7" t="s">
        <v>150</v>
      </c>
      <c r="C25" s="3" t="s">
        <v>1</v>
      </c>
      <c r="D25" s="3" t="s">
        <v>2</v>
      </c>
      <c r="E25" s="4" t="s">
        <v>151</v>
      </c>
      <c r="F25" s="3" t="s">
        <v>4</v>
      </c>
      <c r="G25" s="3" t="s">
        <v>5</v>
      </c>
      <c r="H25" s="3" t="s">
        <v>6</v>
      </c>
      <c r="I25" s="63"/>
      <c r="J25" s="63"/>
      <c r="K25" s="64" t="s">
        <v>152</v>
      </c>
      <c r="L25" s="3" t="s">
        <v>10</v>
      </c>
      <c r="M25" s="7" t="s">
        <v>153</v>
      </c>
      <c r="N25" s="3" t="s">
        <v>12</v>
      </c>
      <c r="O25" s="7" t="s">
        <v>154</v>
      </c>
      <c r="P25" s="7" t="s">
        <v>155</v>
      </c>
      <c r="Q25" s="3" t="s">
        <v>15</v>
      </c>
      <c r="R25" s="63"/>
      <c r="S25" s="63"/>
      <c r="T25" s="65" t="str">
        <f t="shared" ref="T25:T29" si="2">"g0v tw hackath64n — 中場短講 — "&amp;F25&amp;" ／ "&amp;C25&amp;" — 黃金比例黑客松"</f>
        <v>g0v tw hackath64n — 中場短講 — 專案名稱
Project Name ／ 發表者
Presenter — 黃金比例黑客松</v>
      </c>
    </row>
    <row r="26" ht="15.0" customHeight="1">
      <c r="A26" s="66">
        <v>1.0</v>
      </c>
      <c r="B26" s="12">
        <v>0.6041666666666666</v>
      </c>
      <c r="C26" s="15" t="s">
        <v>156</v>
      </c>
      <c r="D26" s="13" t="s">
        <v>22</v>
      </c>
      <c r="E26" s="14"/>
      <c r="F26" s="13" t="s">
        <v>157</v>
      </c>
      <c r="G26" s="13" t="s">
        <v>157</v>
      </c>
      <c r="H26" s="13" t="s">
        <v>158</v>
      </c>
      <c r="I26" s="13" t="s">
        <v>159</v>
      </c>
      <c r="J26" s="13"/>
      <c r="K26" s="15" t="s">
        <v>28</v>
      </c>
      <c r="L26" s="44" t="s">
        <v>160</v>
      </c>
      <c r="M26" s="38" t="s">
        <v>161</v>
      </c>
      <c r="N26" s="13"/>
      <c r="O26" s="13"/>
      <c r="P26" s="13"/>
      <c r="Q26" s="13"/>
      <c r="R26" s="67"/>
      <c r="S26" s="68"/>
      <c r="T26" s="65" t="str">
        <f t="shared" si="2"/>
        <v>g0v tw hackath64n — 中場短講 — Code for Japan Summit 2024 參觀小心得 ／ Peter  — 黃金比例黑客松</v>
      </c>
    </row>
    <row r="27" ht="15.0" customHeight="1">
      <c r="A27" s="66">
        <v>2.0</v>
      </c>
      <c r="B27" s="12">
        <v>0.6111111111111112</v>
      </c>
      <c r="C27" s="15" t="s">
        <v>162</v>
      </c>
      <c r="D27" s="13" t="s">
        <v>22</v>
      </c>
      <c r="E27" s="14"/>
      <c r="F27" s="67" t="s">
        <v>24</v>
      </c>
      <c r="G27" s="67" t="s">
        <v>163</v>
      </c>
      <c r="H27" s="33" t="s">
        <v>158</v>
      </c>
      <c r="I27" s="13"/>
      <c r="J27" s="13"/>
      <c r="K27" s="15"/>
      <c r="L27" s="67"/>
      <c r="M27" s="13"/>
      <c r="N27" s="67"/>
      <c r="O27" s="67"/>
      <c r="P27" s="13"/>
      <c r="Q27" s="13"/>
      <c r="R27" s="67"/>
      <c r="S27" s="68"/>
      <c r="T27" s="65" t="str">
        <f t="shared" si="2"/>
        <v>g0v tw hackath64n — 中場短講 — 拉人更輕鬆 ／ Jas — 黃金比例黑客松</v>
      </c>
    </row>
    <row r="28" ht="15.0" customHeight="1">
      <c r="A28" s="66">
        <v>3.0</v>
      </c>
      <c r="B28" s="12">
        <v>0.6180555555555556</v>
      </c>
      <c r="C28" s="15" t="s">
        <v>47</v>
      </c>
      <c r="D28" s="13" t="s">
        <v>22</v>
      </c>
      <c r="E28" s="14"/>
      <c r="F28" s="13" t="s">
        <v>164</v>
      </c>
      <c r="G28" s="13" t="s">
        <v>164</v>
      </c>
      <c r="H28" s="13" t="s">
        <v>158</v>
      </c>
      <c r="I28" s="13"/>
      <c r="J28" s="13"/>
      <c r="K28" s="15" t="s">
        <v>23</v>
      </c>
      <c r="L28" s="17" t="s">
        <v>165</v>
      </c>
      <c r="M28" s="69"/>
      <c r="N28" s="13" t="s">
        <v>23</v>
      </c>
      <c r="O28" s="13" t="s">
        <v>166</v>
      </c>
      <c r="P28" s="19"/>
      <c r="Q28" s="13"/>
      <c r="R28" s="13"/>
      <c r="S28" s="19"/>
      <c r="T28" s="65" t="str">
        <f t="shared" si="2"/>
        <v>g0v tw hackath64n — 中場短講 — open講！ ／ irvin — 黃金比例黑客松</v>
      </c>
    </row>
    <row r="29" ht="15.0" customHeight="1">
      <c r="A29" s="13">
        <v>4.0</v>
      </c>
      <c r="B29" s="24">
        <v>0.625</v>
      </c>
      <c r="C29" s="27" t="s">
        <v>54</v>
      </c>
      <c r="D29" s="13" t="s">
        <v>22</v>
      </c>
      <c r="E29" s="14"/>
      <c r="F29" s="13" t="s">
        <v>55</v>
      </c>
      <c r="G29" s="13" t="s">
        <v>167</v>
      </c>
      <c r="H29" s="43" t="s">
        <v>168</v>
      </c>
      <c r="I29" s="43"/>
      <c r="J29" s="43"/>
      <c r="K29" s="43" t="s">
        <v>28</v>
      </c>
      <c r="L29" s="19"/>
      <c r="M29" s="17" t="s">
        <v>169</v>
      </c>
      <c r="N29" s="13"/>
      <c r="O29" s="13"/>
      <c r="P29" s="19"/>
      <c r="Q29" s="19"/>
      <c r="R29" s="13"/>
      <c r="S29" s="19"/>
      <c r="T29" s="65" t="str">
        <f t="shared" si="2"/>
        <v>g0v tw hackath64n — 中場短講 — digiresithon ／ Paul — 黃金比例黑客松</v>
      </c>
    </row>
    <row r="30" ht="15.0" customHeight="1">
      <c r="A30" s="70"/>
      <c r="B30" s="71" t="s">
        <v>170</v>
      </c>
      <c r="C30" s="72" t="s">
        <v>146</v>
      </c>
      <c r="D30" s="71"/>
      <c r="E30" s="73"/>
      <c r="F30" s="74"/>
      <c r="G30" s="74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4"/>
      <c r="S30" s="70"/>
      <c r="T30" s="70"/>
    </row>
    <row r="31" ht="15.0" customHeight="1">
      <c r="A31" s="70"/>
      <c r="B31" s="75"/>
      <c r="C31" s="76"/>
      <c r="D31" s="76"/>
      <c r="E31" s="73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</row>
    <row r="32" ht="15.0" customHeight="1">
      <c r="A32" s="19"/>
      <c r="B32" s="77"/>
      <c r="C32" s="19"/>
      <c r="D32" s="19"/>
      <c r="E32" s="7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ht="15.0" customHeight="1">
      <c r="A33" s="8" t="s">
        <v>171</v>
      </c>
      <c r="T33" s="62"/>
    </row>
    <row r="34" ht="15.0" customHeight="1">
      <c r="A34" s="79">
        <v>1.0</v>
      </c>
      <c r="B34" s="80">
        <v>0.6666666666666666</v>
      </c>
      <c r="C34" s="13" t="s">
        <v>172</v>
      </c>
      <c r="D34" s="13" t="s">
        <v>22</v>
      </c>
      <c r="E34" s="14"/>
      <c r="F34" s="13"/>
      <c r="G34" s="13" t="s">
        <v>173</v>
      </c>
      <c r="H34" s="13"/>
      <c r="I34" s="13"/>
      <c r="J34" s="13"/>
      <c r="K34" s="13"/>
      <c r="L34" s="13"/>
      <c r="M34" s="17" t="s">
        <v>174</v>
      </c>
      <c r="N34" s="13"/>
      <c r="O34" s="13"/>
      <c r="P34" s="13"/>
      <c r="Q34" s="13"/>
      <c r="R34" s="13"/>
      <c r="S34" s="13"/>
      <c r="T34" s="65" t="str">
        <f t="shared" ref="T34:T45" si="3">"g0v tw hackath64n — 成果報告 — "&amp;F34&amp;" ／ "&amp;C34&amp;" — 黃金比例黑客松"</f>
        <v>g0v tw hackath64n — 成果報告 —  ／ 揪松團 — 黃金比例黑客松</v>
      </c>
    </row>
    <row r="35" ht="15.0" customHeight="1">
      <c r="A35" s="79">
        <v>2.0</v>
      </c>
      <c r="B35" s="12">
        <v>0.6701388888888888</v>
      </c>
      <c r="C35" s="81" t="s">
        <v>175</v>
      </c>
      <c r="D35" s="81" t="s">
        <v>22</v>
      </c>
      <c r="E35" s="82"/>
      <c r="F35" s="83" t="s">
        <v>176</v>
      </c>
      <c r="G35" s="83" t="s">
        <v>176</v>
      </c>
      <c r="H35" s="83" t="s">
        <v>177</v>
      </c>
      <c r="I35" s="83"/>
      <c r="J35" s="83"/>
      <c r="K35" s="84" t="s">
        <v>23</v>
      </c>
      <c r="L35" s="85" t="s">
        <v>178</v>
      </c>
      <c r="M35" s="22"/>
      <c r="N35" s="13"/>
      <c r="O35" s="13"/>
      <c r="P35" s="13"/>
      <c r="Q35" s="13"/>
      <c r="R35" s="13"/>
      <c r="S35" s="19"/>
      <c r="T35" s="65" t="str">
        <f t="shared" si="3"/>
        <v>g0v tw hackath64n — 成果報告 — 國會松 &amp; 國會相關的 … ／ Ronny — 黃金比例黑客松</v>
      </c>
    </row>
    <row r="36" ht="15.0" customHeight="1">
      <c r="A36" s="79">
        <v>3.0</v>
      </c>
      <c r="B36" s="80">
        <v>0.6736111111111112</v>
      </c>
      <c r="C36" s="13"/>
      <c r="D36" s="13"/>
      <c r="E36" s="14"/>
      <c r="F36" s="19"/>
      <c r="G36" s="19"/>
      <c r="H36" s="13"/>
      <c r="I36" s="13"/>
      <c r="J36" s="13"/>
      <c r="K36" s="13"/>
      <c r="L36" s="19"/>
      <c r="M36" s="86"/>
      <c r="N36" s="13"/>
      <c r="O36" s="13"/>
      <c r="P36" s="13"/>
      <c r="Q36" s="13"/>
      <c r="R36" s="13"/>
      <c r="S36" s="19"/>
      <c r="T36" s="65" t="str">
        <f t="shared" si="3"/>
        <v>g0v tw hackath64n — 成果報告 —  ／  — 黃金比例黑客松</v>
      </c>
    </row>
    <row r="37" ht="15.0" customHeight="1">
      <c r="A37" s="79">
        <v>4.0</v>
      </c>
      <c r="B37" s="12">
        <v>0.6770833333333334</v>
      </c>
      <c r="C37" s="13" t="s">
        <v>179</v>
      </c>
      <c r="D37" s="13" t="s">
        <v>22</v>
      </c>
      <c r="E37" s="14"/>
      <c r="F37" s="13" t="s">
        <v>24</v>
      </c>
      <c r="G37" s="13" t="s">
        <v>180</v>
      </c>
      <c r="H37" s="13" t="s">
        <v>181</v>
      </c>
      <c r="I37" s="19"/>
      <c r="J37" s="19"/>
      <c r="K37" s="19"/>
      <c r="L37" s="13"/>
      <c r="M37" s="44" t="s">
        <v>182</v>
      </c>
      <c r="N37" s="13"/>
      <c r="O37" s="13"/>
      <c r="P37" s="13"/>
      <c r="Q37" s="13"/>
      <c r="R37" s="13"/>
      <c r="S37" s="13"/>
      <c r="T37" s="65" t="str">
        <f t="shared" si="3"/>
        <v>g0v tw hackath64n — 成果報告 — 拉人更輕鬆 ／ jas/yvonne — 黃金比例黑客松</v>
      </c>
    </row>
    <row r="38" ht="15.0" customHeight="1">
      <c r="A38" s="79">
        <v>5.0</v>
      </c>
      <c r="B38" s="12">
        <v>0.6805555555555556</v>
      </c>
      <c r="C38" s="13" t="s">
        <v>70</v>
      </c>
      <c r="D38" s="13" t="s">
        <v>22</v>
      </c>
      <c r="E38" s="14" t="s">
        <v>28</v>
      </c>
      <c r="F38" s="13" t="s">
        <v>183</v>
      </c>
      <c r="G38" s="13" t="s">
        <v>184</v>
      </c>
      <c r="H38" s="13" t="s">
        <v>181</v>
      </c>
      <c r="I38" s="15" t="s">
        <v>36</v>
      </c>
      <c r="J38" s="15"/>
      <c r="K38" s="15" t="s">
        <v>23</v>
      </c>
      <c r="L38" s="17" t="s">
        <v>185</v>
      </c>
      <c r="M38" s="86"/>
      <c r="N38" s="18" t="s">
        <v>28</v>
      </c>
      <c r="O38" s="13" t="s">
        <v>186</v>
      </c>
      <c r="P38" s="13" t="s">
        <v>187</v>
      </c>
      <c r="Q38" s="13" t="s">
        <v>188</v>
      </c>
      <c r="R38" s="13"/>
      <c r="S38" s="13"/>
      <c r="T38" s="65" t="str">
        <f t="shared" si="3"/>
        <v>g0v tw hackath64n — 成果報告 — 碳匯城鄉 ／ chewei — 黃金比例黑客松</v>
      </c>
    </row>
    <row r="39" ht="15.0" customHeight="1">
      <c r="A39" s="79">
        <v>6.0</v>
      </c>
      <c r="B39" s="12">
        <v>0.6840277777777778</v>
      </c>
      <c r="C39" s="67" t="s">
        <v>189</v>
      </c>
      <c r="D39" s="13" t="s">
        <v>22</v>
      </c>
      <c r="E39" s="14" t="s">
        <v>28</v>
      </c>
      <c r="F39" s="13" t="s">
        <v>190</v>
      </c>
      <c r="G39" s="13" t="s">
        <v>191</v>
      </c>
      <c r="H39" s="13" t="s">
        <v>181</v>
      </c>
      <c r="I39" s="15" t="s">
        <v>36</v>
      </c>
      <c r="J39" s="13"/>
      <c r="K39" s="15" t="s">
        <v>28</v>
      </c>
      <c r="L39" s="17" t="s">
        <v>192</v>
      </c>
      <c r="M39" s="44" t="s">
        <v>193</v>
      </c>
      <c r="N39" s="18" t="s">
        <v>28</v>
      </c>
      <c r="O39" s="13" t="s">
        <v>194</v>
      </c>
      <c r="P39" s="13" t="s">
        <v>195</v>
      </c>
      <c r="Q39" s="44" t="s">
        <v>196</v>
      </c>
      <c r="R39" s="13"/>
      <c r="S39" s="13"/>
      <c r="T39" s="65" t="str">
        <f t="shared" si="3"/>
        <v>g0v tw hackath64n — 成果報告 — FAB DAO 綠沙發小組 ／ Stanley  — 黃金比例黑客松</v>
      </c>
    </row>
    <row r="40" ht="15.0" customHeight="1">
      <c r="A40" s="79">
        <v>7.0</v>
      </c>
      <c r="B40" s="12">
        <v>0.6875</v>
      </c>
      <c r="C40" s="13" t="s">
        <v>120</v>
      </c>
      <c r="D40" s="13" t="s">
        <v>22</v>
      </c>
      <c r="E40" s="14" t="s">
        <v>28</v>
      </c>
      <c r="F40" s="87" t="s">
        <v>121</v>
      </c>
      <c r="G40" s="87" t="s">
        <v>197</v>
      </c>
      <c r="H40" s="15" t="s">
        <v>26</v>
      </c>
      <c r="I40" s="15" t="s">
        <v>91</v>
      </c>
      <c r="J40" s="15"/>
      <c r="K40" s="15" t="s">
        <v>28</v>
      </c>
      <c r="L40" s="88" t="s">
        <v>123</v>
      </c>
      <c r="M40" s="17" t="s">
        <v>198</v>
      </c>
      <c r="N40" s="18" t="s">
        <v>28</v>
      </c>
      <c r="O40" s="13" t="s">
        <v>125</v>
      </c>
      <c r="P40" s="13" t="s">
        <v>126</v>
      </c>
      <c r="Q40" s="13" t="s">
        <v>127</v>
      </c>
      <c r="R40" s="13"/>
      <c r="S40" s="44" t="s">
        <v>128</v>
      </c>
      <c r="T40" s="65" t="str">
        <f t="shared" si="3"/>
        <v>g0v tw hackath64n — 成果報告 — Top-Ten-LiFaYuan ／ Luphia — 黃金比例黑客松</v>
      </c>
    </row>
    <row r="41" ht="15.0" customHeight="1">
      <c r="A41" s="79">
        <v>8.0</v>
      </c>
      <c r="B41" s="12">
        <v>0.6909722222222222</v>
      </c>
      <c r="C41" s="13" t="s">
        <v>199</v>
      </c>
      <c r="D41" s="13" t="s">
        <v>22</v>
      </c>
      <c r="E41" s="14" t="s">
        <v>28</v>
      </c>
      <c r="F41" s="13" t="s">
        <v>200</v>
      </c>
      <c r="G41" s="13" t="s">
        <v>201</v>
      </c>
      <c r="H41" s="13" t="s">
        <v>26</v>
      </c>
      <c r="I41" s="13"/>
      <c r="J41" s="13"/>
      <c r="K41" s="13" t="s">
        <v>28</v>
      </c>
      <c r="L41" s="17" t="s">
        <v>115</v>
      </c>
      <c r="M41" s="13"/>
      <c r="N41" s="13" t="s">
        <v>28</v>
      </c>
      <c r="O41" s="13"/>
      <c r="P41" s="13"/>
      <c r="Q41" s="13"/>
      <c r="R41" s="13"/>
      <c r="S41" s="19"/>
      <c r="T41" s="65" t="str">
        <f t="shared" si="3"/>
        <v>g0v tw hackath64n — 成果報告 — Cofacts ／ MrOrz &amp; Billion — 黃金比例黑客松</v>
      </c>
    </row>
    <row r="42" ht="15.0" customHeight="1">
      <c r="A42" s="79">
        <v>9.0</v>
      </c>
      <c r="B42" s="12">
        <v>0.6944444444444444</v>
      </c>
      <c r="C42" s="13" t="s">
        <v>202</v>
      </c>
      <c r="D42" s="13" t="s">
        <v>22</v>
      </c>
      <c r="E42" s="14"/>
      <c r="F42" s="13" t="s">
        <v>203</v>
      </c>
      <c r="G42" s="13" t="s">
        <v>204</v>
      </c>
      <c r="H42" s="13" t="s">
        <v>205</v>
      </c>
      <c r="I42" s="13" t="s">
        <v>91</v>
      </c>
      <c r="J42" s="13"/>
      <c r="K42" s="13" t="s">
        <v>28</v>
      </c>
      <c r="L42" s="44" t="s">
        <v>206</v>
      </c>
      <c r="M42" s="44" t="s">
        <v>207</v>
      </c>
      <c r="N42" s="37" t="s">
        <v>28</v>
      </c>
      <c r="O42" s="37" t="s">
        <v>208</v>
      </c>
      <c r="P42" s="13"/>
      <c r="Q42" s="13" t="s">
        <v>209</v>
      </c>
      <c r="R42" s="13"/>
      <c r="S42" s="19"/>
      <c r="T42" s="65" t="str">
        <f t="shared" si="3"/>
        <v>g0v tw hackath64n — 成果報告 — D2WG ／ RSChiang — 黃金比例黑客松</v>
      </c>
    </row>
    <row r="43" ht="15.0" customHeight="1">
      <c r="A43" s="79">
        <v>10.0</v>
      </c>
      <c r="B43" s="12">
        <v>0.6979166666666666</v>
      </c>
      <c r="C43" s="13" t="s">
        <v>47</v>
      </c>
      <c r="D43" s="13" t="s">
        <v>22</v>
      </c>
      <c r="E43" s="14" t="s">
        <v>28</v>
      </c>
      <c r="F43" s="13" t="s">
        <v>210</v>
      </c>
      <c r="G43" s="13" t="s">
        <v>211</v>
      </c>
      <c r="H43" s="13" t="s">
        <v>212</v>
      </c>
      <c r="I43" s="13" t="s">
        <v>91</v>
      </c>
      <c r="J43" s="13"/>
      <c r="K43" s="13" t="s">
        <v>28</v>
      </c>
      <c r="L43" s="17" t="s">
        <v>49</v>
      </c>
      <c r="M43" s="89"/>
      <c r="N43" s="13" t="s">
        <v>28</v>
      </c>
      <c r="O43" s="13" t="s">
        <v>51</v>
      </c>
      <c r="P43" s="13" t="s">
        <v>52</v>
      </c>
      <c r="Q43" s="17" t="s">
        <v>213</v>
      </c>
      <c r="R43" s="19"/>
      <c r="S43" s="19"/>
      <c r="T43" s="65" t="str">
        <f t="shared" si="3"/>
        <v>g0v tw hackath64n — 成果報告 — Common Voice ／ irvin — 黃金比例黑客松</v>
      </c>
    </row>
    <row r="44" ht="15.0" customHeight="1">
      <c r="A44" s="79">
        <v>11.0</v>
      </c>
      <c r="B44" s="12">
        <v>0.7013888888888888</v>
      </c>
      <c r="C44" s="13" t="s">
        <v>175</v>
      </c>
      <c r="D44" s="13" t="s">
        <v>22</v>
      </c>
      <c r="E44" s="14" t="s">
        <v>28</v>
      </c>
      <c r="F44" s="13" t="s">
        <v>214</v>
      </c>
      <c r="G44" s="13" t="s">
        <v>215</v>
      </c>
      <c r="H44" s="90"/>
      <c r="I44" s="90"/>
      <c r="J44" s="90"/>
      <c r="K44" s="90"/>
      <c r="L44" s="17" t="s">
        <v>216</v>
      </c>
      <c r="M44" s="13"/>
      <c r="N44" s="13"/>
      <c r="O44" s="13"/>
      <c r="P44" s="19"/>
      <c r="Q44" s="19"/>
      <c r="R44" s="13"/>
      <c r="S44" s="13"/>
      <c r="T44" s="65" t="str">
        <f t="shared" si="3"/>
        <v>g0v tw hackath64n — 成果報告 — 放輕松 ／ Ronny — 黃金比例黑客松</v>
      </c>
    </row>
    <row r="45" ht="15.0" customHeight="1">
      <c r="A45" s="79">
        <v>12.0</v>
      </c>
      <c r="B45" s="12">
        <v>0.7048611111111112</v>
      </c>
      <c r="C45" s="13" t="s">
        <v>217</v>
      </c>
      <c r="D45" s="13" t="s">
        <v>22</v>
      </c>
      <c r="E45" s="14"/>
      <c r="F45" s="13" t="s">
        <v>218</v>
      </c>
      <c r="G45" s="13" t="s">
        <v>219</v>
      </c>
      <c r="H45" s="90"/>
      <c r="I45" s="90"/>
      <c r="J45" s="90"/>
      <c r="K45" s="90" t="s">
        <v>28</v>
      </c>
      <c r="L45" s="13"/>
      <c r="M45" s="13"/>
      <c r="N45" s="13" t="s">
        <v>28</v>
      </c>
      <c r="O45" s="13" t="s">
        <v>220</v>
      </c>
      <c r="P45" s="13" t="s">
        <v>221</v>
      </c>
      <c r="Q45" s="17" t="s">
        <v>222</v>
      </c>
      <c r="R45" s="17" t="s">
        <v>223</v>
      </c>
      <c r="S45" s="13"/>
      <c r="T45" s="65" t="str">
        <f t="shared" si="3"/>
        <v>g0v tw hackath64n — 成果報告 — Groundi 熱情專案 ／ Joanne — 黃金比例黑客松</v>
      </c>
    </row>
    <row r="46" ht="15.0" customHeight="1">
      <c r="A46" s="91"/>
      <c r="B46" s="92"/>
      <c r="C46" s="93"/>
      <c r="D46" s="93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</row>
    <row r="47" ht="15.0" customHeight="1">
      <c r="A47" s="91"/>
      <c r="B47" s="92"/>
      <c r="C47" s="93"/>
      <c r="D47" s="93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</row>
  </sheetData>
  <mergeCells count="6">
    <mergeCell ref="A1:P1"/>
    <mergeCell ref="A3:S3"/>
    <mergeCell ref="A4:P4"/>
    <mergeCell ref="A22:S22"/>
    <mergeCell ref="A24:S24"/>
    <mergeCell ref="A33:S33"/>
  </mergeCells>
  <dataValidations>
    <dataValidation type="list" allowBlank="1" sqref="D5:D19 D26:D29 D34:D45">
      <formula1>"實體,預錄影片"</formula1>
    </dataValidation>
  </dataValidations>
  <hyperlinks>
    <hyperlink r:id="rId1" location="heading=h.d6oai4hllrwv" ref="I2"/>
    <hyperlink r:id="rId2" ref="K2"/>
    <hyperlink r:id="rId3" location="heading=h.4k0q8f2japog" ref="L5"/>
    <hyperlink r:id="rId4" ref="M5"/>
    <hyperlink r:id="rId5" ref="L6"/>
    <hyperlink r:id="rId6" ref="M6"/>
    <hyperlink r:id="rId7" location="heading=h.u4a3aauwdsh" ref="J7"/>
    <hyperlink r:id="rId8" location="slide=id.p1" ref="M7"/>
    <hyperlink r:id="rId9" ref="L8"/>
    <hyperlink r:id="rId10" ref="M8"/>
    <hyperlink r:id="rId11" ref="Q8"/>
    <hyperlink r:id="rId12" ref="L9"/>
    <hyperlink r:id="rId13" ref="M9"/>
    <hyperlink r:id="rId14" ref="J10"/>
    <hyperlink r:id="rId15" ref="L10"/>
    <hyperlink r:id="rId16" ref="M10"/>
    <hyperlink r:id="rId17" ref="R10"/>
    <hyperlink r:id="rId18" ref="J11"/>
    <hyperlink r:id="rId19" ref="L11"/>
    <hyperlink r:id="rId20" ref="M11"/>
    <hyperlink r:id="rId21" ref="M12"/>
    <hyperlink r:id="rId22" ref="G13"/>
    <hyperlink r:id="rId23" ref="L13"/>
    <hyperlink r:id="rId24" ref="M13"/>
    <hyperlink r:id="rId25" ref="L14"/>
    <hyperlink r:id="rId26" ref="M14"/>
    <hyperlink r:id="rId27" ref="M15"/>
    <hyperlink r:id="rId28" ref="L16"/>
    <hyperlink r:id="rId29" location="slide=id.g28caf866bb2_1_0" ref="M16"/>
    <hyperlink r:id="rId30" ref="L17"/>
    <hyperlink r:id="rId31" ref="M17"/>
    <hyperlink r:id="rId32" ref="S17"/>
    <hyperlink r:id="rId33" location="slide=id.g3171f6dd034_0_577" ref="M18"/>
    <hyperlink r:id="rId34" ref="L19"/>
    <hyperlink r:id="rId35" ref="M19"/>
    <hyperlink r:id="rId36" ref="K25"/>
    <hyperlink r:id="rId37" ref="L26"/>
    <hyperlink r:id="rId38" ref="M26"/>
    <hyperlink r:id="rId39" ref="L28"/>
    <hyperlink r:id="rId40" ref="M29"/>
    <hyperlink r:id="rId41" location="slide=id.g3167d3219d9_0_0" ref="M34"/>
    <hyperlink r:id="rId42" ref="L35"/>
    <hyperlink r:id="rId43" ref="M37"/>
    <hyperlink r:id="rId44" ref="L38"/>
    <hyperlink r:id="rId45" ref="L39"/>
    <hyperlink r:id="rId46" location="slide=id.g318fd22434b_0_40" ref="M39"/>
    <hyperlink r:id="rId47" ref="Q39"/>
    <hyperlink r:id="rId48" ref="L40"/>
    <hyperlink r:id="rId49" ref="M40"/>
    <hyperlink r:id="rId50" ref="S40"/>
    <hyperlink r:id="rId51" ref="L41"/>
    <hyperlink r:id="rId52" ref="L42"/>
    <hyperlink r:id="rId53" ref="M42"/>
    <hyperlink r:id="rId54" ref="L43"/>
    <hyperlink r:id="rId55" ref="Q43"/>
    <hyperlink r:id="rId56" ref="L44"/>
    <hyperlink r:id="rId57" ref="Q45"/>
    <hyperlink r:id="rId58" ref="R45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5.88"/>
    <col customWidth="1" min="8" max="8" width="5.5"/>
    <col customWidth="1" min="9" max="13" width="9.75"/>
    <col customWidth="1" min="14" max="14" width="5.75"/>
    <col customWidth="1" min="15" max="15" width="9.25"/>
    <col customWidth="1" min="16" max="20" width="9.75"/>
  </cols>
  <sheetData>
    <row r="1" ht="10.5" customHeight="1">
      <c r="A1" s="94"/>
      <c r="B1" s="95">
        <v>107.0</v>
      </c>
      <c r="H1" s="96" t="s">
        <v>224</v>
      </c>
      <c r="N1" s="97">
        <v>101.0</v>
      </c>
      <c r="T1" s="94"/>
    </row>
    <row r="2" ht="39.0" customHeight="1">
      <c r="A2" s="98"/>
      <c r="B2" s="99" t="s">
        <v>225</v>
      </c>
      <c r="C2" s="100"/>
      <c r="D2" s="100"/>
      <c r="E2" s="100"/>
      <c r="F2" s="100"/>
      <c r="G2" s="101"/>
      <c r="H2" s="98"/>
      <c r="I2" s="98"/>
      <c r="J2" s="98"/>
      <c r="K2" s="102" t="s">
        <v>226</v>
      </c>
      <c r="L2" s="98"/>
      <c r="M2" s="98"/>
      <c r="N2" s="98"/>
      <c r="O2" s="99" t="s">
        <v>227</v>
      </c>
      <c r="P2" s="100"/>
      <c r="Q2" s="100"/>
      <c r="R2" s="100"/>
      <c r="S2" s="100"/>
      <c r="T2" s="34"/>
    </row>
    <row r="3" ht="39.0" customHeight="1">
      <c r="A3" s="103"/>
      <c r="B3" s="104"/>
      <c r="C3" s="105"/>
      <c r="D3" s="106"/>
      <c r="E3" s="107"/>
      <c r="F3" s="108" t="s">
        <v>81</v>
      </c>
      <c r="G3" s="107"/>
      <c r="H3" s="109"/>
      <c r="I3" s="109"/>
      <c r="J3" s="109"/>
      <c r="L3" s="109"/>
      <c r="M3" s="109"/>
      <c r="N3" s="103"/>
      <c r="O3" s="110"/>
      <c r="P3" s="110"/>
      <c r="Q3" s="111"/>
      <c r="R3" s="110"/>
      <c r="S3" s="111"/>
      <c r="T3" s="112"/>
    </row>
    <row r="4" ht="39.0" customHeight="1">
      <c r="A4" s="103"/>
      <c r="B4" s="113" t="s">
        <v>228</v>
      </c>
      <c r="C4" s="106"/>
      <c r="D4" s="108" t="s">
        <v>229</v>
      </c>
      <c r="E4" s="114"/>
      <c r="F4" s="115" t="s">
        <v>48</v>
      </c>
      <c r="G4" s="116" t="s">
        <v>230</v>
      </c>
      <c r="H4" s="109"/>
      <c r="I4" s="109"/>
      <c r="J4" s="109"/>
      <c r="K4" s="117"/>
      <c r="L4" s="109"/>
      <c r="M4" s="109"/>
      <c r="N4" s="103"/>
      <c r="O4" s="110"/>
      <c r="P4" s="77"/>
      <c r="Q4" s="110"/>
      <c r="R4" s="111"/>
      <c r="S4" s="110"/>
      <c r="T4" s="112"/>
    </row>
    <row r="5" ht="39.0" customHeight="1">
      <c r="A5" s="103"/>
      <c r="B5" s="107"/>
      <c r="C5" s="118"/>
      <c r="D5" s="108" t="s">
        <v>231</v>
      </c>
      <c r="E5" s="107"/>
      <c r="F5" s="107"/>
      <c r="G5" s="107"/>
      <c r="H5" s="102" t="s">
        <v>232</v>
      </c>
      <c r="I5" s="119"/>
      <c r="J5" s="119"/>
      <c r="K5" s="102" t="s">
        <v>233</v>
      </c>
      <c r="L5" s="109"/>
      <c r="M5" s="109"/>
      <c r="N5" s="103"/>
      <c r="O5" s="110"/>
      <c r="P5" s="111"/>
      <c r="Q5" s="113" t="s">
        <v>61</v>
      </c>
      <c r="S5" s="110"/>
      <c r="T5" s="120"/>
    </row>
    <row r="6" ht="39.0" customHeight="1">
      <c r="A6" s="103"/>
      <c r="B6" s="107"/>
      <c r="C6" s="107"/>
      <c r="D6" s="107"/>
      <c r="E6" s="118"/>
      <c r="F6" s="107"/>
      <c r="G6" s="107"/>
      <c r="H6" s="109"/>
      <c r="I6" s="109"/>
      <c r="J6" s="109"/>
      <c r="K6" s="109"/>
      <c r="L6" s="109"/>
      <c r="M6" s="109"/>
      <c r="N6" s="103"/>
      <c r="O6" s="110"/>
      <c r="P6" s="77"/>
      <c r="Q6" s="110"/>
      <c r="R6" s="111"/>
      <c r="S6" s="110"/>
      <c r="T6" s="112"/>
    </row>
    <row r="7" ht="39.0" customHeight="1">
      <c r="A7" s="103"/>
      <c r="B7" s="107"/>
      <c r="C7" s="107"/>
      <c r="D7" s="107"/>
      <c r="E7" s="107"/>
      <c r="F7" s="107"/>
      <c r="G7" s="116" t="s">
        <v>230</v>
      </c>
      <c r="H7" s="109"/>
      <c r="I7" s="109"/>
      <c r="J7" s="15"/>
      <c r="K7" s="15" t="s">
        <v>234</v>
      </c>
      <c r="L7" s="15"/>
      <c r="M7" s="109"/>
      <c r="N7" s="103"/>
      <c r="O7" s="110"/>
      <c r="P7" s="113" t="s">
        <v>235</v>
      </c>
      <c r="Q7" s="111"/>
      <c r="R7" s="111"/>
      <c r="S7" s="113" t="s">
        <v>105</v>
      </c>
      <c r="T7" s="112"/>
    </row>
    <row r="8" ht="39.0" customHeight="1">
      <c r="A8" s="103"/>
      <c r="B8" s="107"/>
      <c r="C8" s="107"/>
      <c r="D8" s="107"/>
      <c r="E8" s="107"/>
      <c r="F8" s="107"/>
      <c r="G8" s="107"/>
      <c r="H8" s="81"/>
      <c r="I8" s="105"/>
      <c r="J8" s="15" t="s">
        <v>236</v>
      </c>
      <c r="K8" s="15"/>
      <c r="L8" s="15"/>
      <c r="M8" s="105"/>
      <c r="N8" s="121" t="s">
        <v>230</v>
      </c>
      <c r="O8" s="110"/>
      <c r="P8" s="110"/>
      <c r="Q8" s="110"/>
      <c r="R8" s="122"/>
      <c r="S8" s="111"/>
      <c r="T8" s="112"/>
    </row>
    <row r="9" ht="39.0" customHeight="1">
      <c r="A9" s="103"/>
      <c r="B9" s="107"/>
      <c r="C9" s="107"/>
      <c r="D9" s="107"/>
      <c r="E9" s="107"/>
      <c r="F9" s="107"/>
      <c r="G9" s="107"/>
      <c r="H9" s="109"/>
      <c r="I9" s="109"/>
      <c r="J9" s="119" t="s">
        <v>40</v>
      </c>
      <c r="K9" s="15" t="s">
        <v>237</v>
      </c>
      <c r="L9" s="15" t="s">
        <v>238</v>
      </c>
      <c r="M9" s="109"/>
      <c r="N9" s="103"/>
      <c r="O9" s="110"/>
      <c r="P9" s="110"/>
      <c r="Q9" s="110"/>
      <c r="R9" s="110"/>
      <c r="S9" s="110"/>
      <c r="T9" s="112"/>
    </row>
    <row r="10" ht="39.0" customHeight="1">
      <c r="A10" s="109"/>
      <c r="B10" s="123"/>
      <c r="C10" s="123"/>
      <c r="D10" s="123"/>
      <c r="E10" s="123"/>
      <c r="F10" s="123"/>
      <c r="G10" s="123"/>
      <c r="H10" s="109"/>
      <c r="I10" s="109"/>
      <c r="J10" s="109"/>
      <c r="K10" s="109"/>
      <c r="L10" s="109"/>
      <c r="M10" s="109"/>
      <c r="N10" s="109"/>
      <c r="O10" s="123"/>
      <c r="P10" s="123"/>
      <c r="Q10" s="123"/>
      <c r="R10" s="123"/>
      <c r="S10" s="123"/>
      <c r="T10" s="109"/>
    </row>
    <row r="11" ht="39.0" customHeight="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</row>
    <row r="12" ht="39.0" customHeight="1">
      <c r="A12" s="77"/>
      <c r="B12" s="77"/>
      <c r="C12" s="1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</row>
    <row r="13" ht="39.0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</row>
    <row r="14" ht="39.0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</row>
    <row r="15" ht="39.0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</row>
    <row r="16" ht="39.0" customHeight="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</row>
    <row r="17" ht="39.0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</row>
    <row r="18" ht="39.0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</row>
    <row r="19" ht="39.0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</row>
    <row r="20" ht="39.0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</row>
    <row r="21" ht="39.0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</row>
    <row r="22" ht="39.0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</row>
    <row r="23" ht="39.0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</row>
    <row r="24" ht="39.0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</row>
    <row r="25" ht="39.0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</row>
    <row r="26" ht="39.0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</row>
    <row r="27" ht="39.0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</row>
    <row r="28" ht="39.0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</row>
    <row r="29" ht="39.0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</row>
    <row r="30" ht="39.0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</row>
    <row r="31" ht="39.0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</row>
    <row r="32" ht="39.0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</row>
    <row r="33" ht="39.0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</row>
    <row r="34" ht="39.0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</row>
    <row r="35" ht="39.0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</row>
    <row r="36" ht="39.0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</row>
    <row r="37" ht="39.0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</row>
    <row r="38" ht="39.0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</row>
    <row r="39" ht="39.0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</row>
    <row r="40" ht="39.0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</row>
    <row r="41" ht="39.0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</row>
    <row r="42" ht="39.0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</row>
    <row r="43" ht="39.0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</row>
    <row r="44" ht="39.0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</row>
    <row r="45" ht="39.0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</row>
    <row r="46" ht="39.0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</row>
    <row r="47" ht="39.0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</row>
    <row r="48" ht="39.0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</row>
    <row r="49" ht="39.0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</row>
    <row r="50" ht="39.0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</row>
    <row r="51" ht="39.0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</row>
    <row r="52" ht="39.0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</row>
    <row r="53" ht="39.0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</row>
    <row r="54" ht="39.0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</row>
    <row r="55" ht="39.0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</row>
    <row r="56" ht="39.0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</row>
    <row r="57" ht="39.0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</row>
    <row r="58" ht="39.0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</row>
    <row r="59" ht="39.0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</row>
    <row r="60" ht="39.0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</row>
    <row r="61" ht="39.0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</row>
    <row r="62" ht="39.0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</row>
    <row r="63" ht="39.0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</row>
    <row r="64" ht="39.0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</row>
    <row r="65" ht="39.0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</row>
    <row r="66" ht="39.0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</row>
    <row r="67" ht="39.0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</row>
    <row r="68" ht="39.0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</row>
    <row r="69" ht="39.0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</row>
    <row r="70" ht="39.0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</row>
    <row r="71" ht="39.0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</row>
    <row r="72" ht="39.0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</row>
    <row r="73" ht="39.0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</row>
    <row r="74" ht="39.0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</row>
    <row r="75" ht="39.0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</row>
    <row r="76" ht="39.0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</row>
    <row r="77" ht="39.0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</row>
    <row r="78" ht="39.0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</row>
    <row r="79" ht="39.0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</row>
    <row r="80" ht="39.0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</row>
    <row r="81" ht="39.0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</row>
    <row r="82" ht="39.0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</row>
    <row r="83" ht="39.0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</row>
    <row r="84" ht="39.0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</row>
    <row r="85" ht="39.0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</row>
    <row r="86" ht="39.0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</row>
    <row r="87" ht="39.0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</row>
    <row r="88" ht="39.0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</row>
    <row r="89" ht="39.0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</row>
    <row r="90" ht="39.0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</row>
    <row r="91" ht="39.0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</row>
    <row r="92" ht="39.0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</row>
    <row r="93" ht="39.0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</row>
    <row r="94" ht="39.0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</row>
    <row r="95" ht="39.0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</row>
  </sheetData>
  <mergeCells count="6">
    <mergeCell ref="B1:G1"/>
    <mergeCell ref="H1:M1"/>
    <mergeCell ref="N1:S1"/>
    <mergeCell ref="B2:F2"/>
    <mergeCell ref="K2:K3"/>
    <mergeCell ref="O2:S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5.13" defaultRowHeight="15.75"/>
  <cols>
    <col customWidth="1" min="3" max="3" width="86.88"/>
    <col customWidth="1" min="4" max="4" width="6.5"/>
  </cols>
  <sheetData>
    <row r="1">
      <c r="A1" s="124" t="s">
        <v>239</v>
      </c>
    </row>
    <row r="4">
      <c r="A4" s="125" t="s">
        <v>240</v>
      </c>
    </row>
    <row r="5">
      <c r="A5" s="126" t="s">
        <v>241</v>
      </c>
      <c r="B5" s="127" t="s">
        <v>242</v>
      </c>
      <c r="C5" s="127" t="s">
        <v>243</v>
      </c>
      <c r="D5" s="128"/>
      <c r="E5" s="128"/>
      <c r="F5" s="128"/>
      <c r="G5" s="128"/>
    </row>
    <row r="6">
      <c r="A6" s="129" t="s">
        <v>244</v>
      </c>
      <c r="B6" s="130" t="s">
        <v>245</v>
      </c>
      <c r="C6" s="130" t="s">
        <v>246</v>
      </c>
    </row>
    <row r="7">
      <c r="A7" s="128">
        <v>1.0</v>
      </c>
      <c r="B7" s="130" t="s">
        <v>247</v>
      </c>
      <c r="C7" s="60" t="s">
        <v>248</v>
      </c>
    </row>
    <row r="8">
      <c r="A8" s="128">
        <v>2.0</v>
      </c>
      <c r="B8" s="130" t="s">
        <v>249</v>
      </c>
      <c r="C8" s="131" t="s">
        <v>250</v>
      </c>
      <c r="E8" s="132" t="s">
        <v>251</v>
      </c>
    </row>
    <row r="9">
      <c r="A9" s="128">
        <v>3.0</v>
      </c>
      <c r="B9" s="130" t="s">
        <v>252</v>
      </c>
      <c r="C9" s="130" t="s">
        <v>250</v>
      </c>
    </row>
    <row r="10">
      <c r="A10" s="128">
        <v>4.0</v>
      </c>
      <c r="B10" s="130" t="s">
        <v>253</v>
      </c>
      <c r="C10" s="60" t="s">
        <v>254</v>
      </c>
    </row>
    <row r="11">
      <c r="A11" s="128">
        <v>5.0</v>
      </c>
      <c r="B11" s="130" t="s">
        <v>162</v>
      </c>
      <c r="C11" s="130" t="s">
        <v>250</v>
      </c>
    </row>
    <row r="12">
      <c r="A12" s="128">
        <v>6.0</v>
      </c>
      <c r="B12" s="130" t="s">
        <v>255</v>
      </c>
      <c r="C12" s="130" t="s">
        <v>250</v>
      </c>
    </row>
    <row r="13">
      <c r="A13" s="128">
        <v>7.0</v>
      </c>
      <c r="B13" s="130" t="s">
        <v>70</v>
      </c>
      <c r="C13" s="131" t="s">
        <v>250</v>
      </c>
    </row>
    <row r="14">
      <c r="A14" s="128">
        <v>8.0</v>
      </c>
      <c r="B14" s="130" t="s">
        <v>256</v>
      </c>
      <c r="C14" s="133" t="s">
        <v>250</v>
      </c>
    </row>
    <row r="15">
      <c r="A15" s="128">
        <v>9.0</v>
      </c>
      <c r="B15" s="130" t="s">
        <v>257</v>
      </c>
    </row>
    <row r="16">
      <c r="A16" s="128">
        <v>10.0</v>
      </c>
      <c r="B16" s="130" t="s">
        <v>258</v>
      </c>
      <c r="C16" s="131" t="s">
        <v>250</v>
      </c>
    </row>
    <row r="17">
      <c r="A17" s="128">
        <v>11.0</v>
      </c>
      <c r="B17" s="130" t="s">
        <v>259</v>
      </c>
      <c r="C17" s="131" t="s">
        <v>250</v>
      </c>
    </row>
    <row r="18">
      <c r="A18" s="128">
        <v>12.0</v>
      </c>
      <c r="B18" s="130" t="s">
        <v>260</v>
      </c>
      <c r="C18" s="131" t="s">
        <v>250</v>
      </c>
    </row>
    <row r="19">
      <c r="A19" s="128">
        <v>13.0</v>
      </c>
      <c r="B19" s="130" t="s">
        <v>111</v>
      </c>
      <c r="C19" s="130" t="s">
        <v>250</v>
      </c>
    </row>
    <row r="20">
      <c r="A20" s="128">
        <v>14.0</v>
      </c>
      <c r="B20" s="130" t="s">
        <v>261</v>
      </c>
      <c r="C20" s="130" t="s">
        <v>250</v>
      </c>
    </row>
    <row r="21">
      <c r="A21" s="128">
        <v>15.0</v>
      </c>
      <c r="B21" s="130" t="s">
        <v>262</v>
      </c>
      <c r="C21" s="130" t="s">
        <v>250</v>
      </c>
    </row>
    <row r="22">
      <c r="A22" s="128">
        <v>16.0</v>
      </c>
      <c r="B22" s="130" t="s">
        <v>120</v>
      </c>
      <c r="C22" s="60" t="s">
        <v>263</v>
      </c>
    </row>
    <row r="23">
      <c r="A23" s="128">
        <v>17.0</v>
      </c>
      <c r="B23" s="130" t="s">
        <v>264</v>
      </c>
      <c r="C23" s="130" t="s">
        <v>250</v>
      </c>
    </row>
    <row r="24">
      <c r="A24" s="128">
        <v>18.0</v>
      </c>
      <c r="C24" s="60" t="s">
        <v>265</v>
      </c>
    </row>
    <row r="25">
      <c r="A25" s="128">
        <v>19.0</v>
      </c>
      <c r="B25" s="130" t="s">
        <v>266</v>
      </c>
      <c r="C25" s="130"/>
    </row>
    <row r="26">
      <c r="A26" s="128">
        <v>20.0</v>
      </c>
      <c r="B26" s="130" t="s">
        <v>267</v>
      </c>
      <c r="C26" s="130" t="s">
        <v>250</v>
      </c>
    </row>
    <row r="27">
      <c r="A27" s="128">
        <v>21.0</v>
      </c>
      <c r="C27" s="60" t="s">
        <v>268</v>
      </c>
    </row>
    <row r="28">
      <c r="A28" s="128">
        <v>22.0</v>
      </c>
      <c r="B28" s="130" t="s">
        <v>269</v>
      </c>
      <c r="C28" s="130" t="s">
        <v>250</v>
      </c>
    </row>
    <row r="29">
      <c r="A29" s="128">
        <v>23.0</v>
      </c>
      <c r="C29" s="60" t="s">
        <v>270</v>
      </c>
    </row>
    <row r="30">
      <c r="A30" s="128">
        <v>24.0</v>
      </c>
      <c r="B30" s="130" t="s">
        <v>271</v>
      </c>
      <c r="C30" s="130" t="s">
        <v>250</v>
      </c>
    </row>
    <row r="31">
      <c r="A31" s="128">
        <v>25.0</v>
      </c>
      <c r="B31" s="130" t="s">
        <v>272</v>
      </c>
      <c r="C31" s="60" t="s">
        <v>273</v>
      </c>
    </row>
    <row r="32">
      <c r="A32" s="128">
        <v>26.0</v>
      </c>
      <c r="B32" s="130" t="s">
        <v>274</v>
      </c>
      <c r="C32" s="131" t="s">
        <v>275</v>
      </c>
    </row>
    <row r="33">
      <c r="A33" s="128">
        <v>27.0</v>
      </c>
      <c r="C33" s="60" t="s">
        <v>276</v>
      </c>
    </row>
    <row r="34">
      <c r="A34" s="128">
        <v>28.0</v>
      </c>
      <c r="C34" s="60" t="s">
        <v>277</v>
      </c>
    </row>
    <row r="35">
      <c r="A35" s="128">
        <v>29.0</v>
      </c>
      <c r="C35" s="60" t="s">
        <v>278</v>
      </c>
    </row>
    <row r="36">
      <c r="A36" s="128">
        <v>30.0</v>
      </c>
      <c r="B36" s="130" t="s">
        <v>279</v>
      </c>
      <c r="C36" s="130" t="s">
        <v>250</v>
      </c>
    </row>
    <row r="37">
      <c r="A37" s="128">
        <v>31.0</v>
      </c>
      <c r="C37" s="60" t="s">
        <v>280</v>
      </c>
    </row>
    <row r="38">
      <c r="A38" s="128">
        <v>32.0</v>
      </c>
      <c r="C38" s="60" t="s">
        <v>281</v>
      </c>
    </row>
    <row r="39">
      <c r="A39" s="128">
        <v>33.0</v>
      </c>
      <c r="B39" s="130" t="s">
        <v>282</v>
      </c>
      <c r="C39" s="130" t="s">
        <v>250</v>
      </c>
    </row>
    <row r="40">
      <c r="A40" s="128">
        <v>34.0</v>
      </c>
      <c r="C40" s="60" t="s">
        <v>283</v>
      </c>
    </row>
    <row r="41">
      <c r="A41" s="128">
        <v>35.0</v>
      </c>
      <c r="C41" s="60" t="s">
        <v>284</v>
      </c>
    </row>
    <row r="42">
      <c r="A42" s="128">
        <v>36.0</v>
      </c>
      <c r="C42" s="60" t="s">
        <v>285</v>
      </c>
    </row>
    <row r="43">
      <c r="A43" s="128">
        <v>37.0</v>
      </c>
      <c r="C43" s="60" t="s">
        <v>286</v>
      </c>
    </row>
    <row r="44">
      <c r="A44" s="128">
        <v>38.0</v>
      </c>
      <c r="C44" s="60" t="s">
        <v>287</v>
      </c>
    </row>
    <row r="45">
      <c r="A45" s="128">
        <v>39.0</v>
      </c>
      <c r="C45" s="60" t="s">
        <v>288</v>
      </c>
    </row>
    <row r="46">
      <c r="A46" s="128">
        <v>40.0</v>
      </c>
      <c r="C46" s="60" t="s">
        <v>289</v>
      </c>
    </row>
    <row r="47">
      <c r="A47" s="128">
        <v>41.0</v>
      </c>
      <c r="C47" s="60" t="s">
        <v>290</v>
      </c>
    </row>
    <row r="48">
      <c r="A48" s="128">
        <v>42.0</v>
      </c>
      <c r="C48" s="60" t="s">
        <v>291</v>
      </c>
    </row>
    <row r="49">
      <c r="A49" s="128">
        <v>43.0</v>
      </c>
      <c r="B49" s="130" t="s">
        <v>189</v>
      </c>
      <c r="C49" s="130"/>
    </row>
    <row r="50">
      <c r="A50" s="128">
        <v>44.0</v>
      </c>
      <c r="C50" s="60" t="s">
        <v>292</v>
      </c>
    </row>
    <row r="51">
      <c r="A51" s="128">
        <v>45.0</v>
      </c>
      <c r="C51" s="60" t="s">
        <v>293</v>
      </c>
    </row>
    <row r="52">
      <c r="A52" s="128">
        <v>46.0</v>
      </c>
      <c r="C52" s="60" t="s">
        <v>294</v>
      </c>
    </row>
    <row r="53">
      <c r="A53" s="128">
        <v>47.0</v>
      </c>
      <c r="C53" s="60" t="s">
        <v>295</v>
      </c>
    </row>
    <row r="54">
      <c r="A54" s="128">
        <v>48.0</v>
      </c>
      <c r="C54" s="60" t="s">
        <v>296</v>
      </c>
    </row>
    <row r="55">
      <c r="A55" s="128">
        <v>49.0</v>
      </c>
      <c r="C55" s="60" t="s">
        <v>297</v>
      </c>
    </row>
    <row r="56">
      <c r="A56" s="128">
        <v>50.0</v>
      </c>
      <c r="C56" s="60" t="s">
        <v>298</v>
      </c>
    </row>
    <row r="57">
      <c r="A57" s="128">
        <v>51.0</v>
      </c>
      <c r="C57" s="60" t="s">
        <v>299</v>
      </c>
    </row>
    <row r="58">
      <c r="A58" s="128">
        <v>52.0</v>
      </c>
      <c r="C58" s="60" t="s">
        <v>300</v>
      </c>
    </row>
    <row r="59">
      <c r="A59" s="128">
        <v>53.0</v>
      </c>
      <c r="C59" s="60" t="s">
        <v>301</v>
      </c>
    </row>
    <row r="60">
      <c r="A60" s="128">
        <v>54.0</v>
      </c>
      <c r="C60" s="60" t="s">
        <v>302</v>
      </c>
    </row>
    <row r="61">
      <c r="A61" s="128">
        <v>55.0</v>
      </c>
      <c r="C61" s="60" t="s">
        <v>303</v>
      </c>
    </row>
    <row r="62">
      <c r="A62" s="128">
        <v>56.0</v>
      </c>
      <c r="C62" s="60" t="s">
        <v>304</v>
      </c>
    </row>
    <row r="63">
      <c r="A63" s="128">
        <v>57.0</v>
      </c>
      <c r="C63" s="60" t="s">
        <v>305</v>
      </c>
    </row>
    <row r="64">
      <c r="A64" s="128">
        <v>58.0</v>
      </c>
      <c r="C64" s="60" t="s">
        <v>306</v>
      </c>
    </row>
    <row r="65">
      <c r="A65" s="128">
        <v>59.0</v>
      </c>
      <c r="C65" s="60" t="s">
        <v>307</v>
      </c>
    </row>
    <row r="66">
      <c r="A66" s="128">
        <v>60.0</v>
      </c>
      <c r="C66" s="60" t="s">
        <v>308</v>
      </c>
    </row>
    <row r="67">
      <c r="A67" s="128">
        <v>61.0</v>
      </c>
      <c r="C67" s="60" t="s">
        <v>309</v>
      </c>
    </row>
    <row r="68">
      <c r="A68" s="128">
        <v>62.0</v>
      </c>
      <c r="C68" s="60" t="s">
        <v>310</v>
      </c>
    </row>
    <row r="69">
      <c r="A69" s="128">
        <v>63.0</v>
      </c>
      <c r="C69" s="60" t="s">
        <v>311</v>
      </c>
    </row>
    <row r="70">
      <c r="A70" s="128">
        <v>64.0</v>
      </c>
      <c r="C70" s="60" t="s">
        <v>312</v>
      </c>
    </row>
    <row r="71">
      <c r="A71" s="128">
        <v>65.0</v>
      </c>
      <c r="C71" s="60" t="s">
        <v>313</v>
      </c>
    </row>
    <row r="72">
      <c r="A72" s="128">
        <v>66.0</v>
      </c>
      <c r="C72" s="60" t="s">
        <v>314</v>
      </c>
    </row>
    <row r="73">
      <c r="A73" s="128">
        <v>67.0</v>
      </c>
      <c r="C73" s="60" t="s">
        <v>315</v>
      </c>
    </row>
    <row r="74">
      <c r="A74" s="128">
        <v>68.0</v>
      </c>
      <c r="C74" s="60" t="s">
        <v>316</v>
      </c>
    </row>
    <row r="75">
      <c r="A75" s="128">
        <v>69.0</v>
      </c>
      <c r="C75" s="60" t="s">
        <v>317</v>
      </c>
    </row>
    <row r="76">
      <c r="A76" s="128">
        <v>70.0</v>
      </c>
      <c r="C76" s="60" t="s">
        <v>318</v>
      </c>
    </row>
    <row r="77">
      <c r="A77" s="128">
        <v>71.0</v>
      </c>
      <c r="C77" s="60" t="s">
        <v>319</v>
      </c>
    </row>
    <row r="78">
      <c r="A78" s="128">
        <v>72.0</v>
      </c>
      <c r="C78" s="60" t="s">
        <v>320</v>
      </c>
    </row>
    <row r="79">
      <c r="A79" s="128">
        <v>73.0</v>
      </c>
      <c r="C79" s="60" t="s">
        <v>321</v>
      </c>
    </row>
    <row r="80">
      <c r="A80" s="128">
        <v>74.0</v>
      </c>
      <c r="C80" s="60" t="s">
        <v>322</v>
      </c>
    </row>
    <row r="81">
      <c r="A81" s="128">
        <v>75.0</v>
      </c>
      <c r="C81" s="60" t="s">
        <v>323</v>
      </c>
    </row>
    <row r="82">
      <c r="A82" s="128">
        <v>76.0</v>
      </c>
      <c r="C82" s="60" t="s">
        <v>324</v>
      </c>
    </row>
    <row r="83">
      <c r="A83" s="128">
        <v>77.0</v>
      </c>
      <c r="C83" s="60" t="s">
        <v>325</v>
      </c>
    </row>
    <row r="84">
      <c r="A84" s="128">
        <v>78.0</v>
      </c>
      <c r="C84" s="60" t="s">
        <v>326</v>
      </c>
    </row>
    <row r="85">
      <c r="A85" s="128">
        <v>79.0</v>
      </c>
      <c r="C85" s="60" t="s">
        <v>327</v>
      </c>
    </row>
    <row r="86">
      <c r="A86" s="128">
        <v>80.0</v>
      </c>
      <c r="C86" s="60" t="s">
        <v>328</v>
      </c>
    </row>
    <row r="87">
      <c r="A87" s="128">
        <v>81.0</v>
      </c>
      <c r="C87" s="60" t="s">
        <v>329</v>
      </c>
    </row>
    <row r="88">
      <c r="A88" s="128">
        <v>82.0</v>
      </c>
      <c r="C88" s="60" t="s">
        <v>330</v>
      </c>
    </row>
    <row r="89">
      <c r="A89" s="128">
        <v>83.0</v>
      </c>
      <c r="C89" s="60" t="s">
        <v>331</v>
      </c>
    </row>
    <row r="90">
      <c r="A90" s="128">
        <v>84.0</v>
      </c>
      <c r="C90" s="60" t="s">
        <v>332</v>
      </c>
    </row>
    <row r="91">
      <c r="A91" s="128">
        <v>85.0</v>
      </c>
      <c r="C91" s="60" t="s">
        <v>333</v>
      </c>
    </row>
    <row r="92">
      <c r="A92" s="128">
        <v>86.0</v>
      </c>
      <c r="C92" s="60" t="s">
        <v>334</v>
      </c>
    </row>
    <row r="93">
      <c r="A93" s="128">
        <v>87.0</v>
      </c>
      <c r="C93" s="60" t="s">
        <v>335</v>
      </c>
    </row>
    <row r="94">
      <c r="A94" s="128">
        <v>88.0</v>
      </c>
      <c r="C94" s="60" t="s">
        <v>336</v>
      </c>
    </row>
    <row r="95">
      <c r="A95" s="128">
        <v>89.0</v>
      </c>
      <c r="C95" s="60" t="s">
        <v>337</v>
      </c>
    </row>
    <row r="96">
      <c r="A96" s="128">
        <v>90.0</v>
      </c>
      <c r="C96" s="60" t="s">
        <v>338</v>
      </c>
    </row>
    <row r="97">
      <c r="A97" s="128">
        <v>91.0</v>
      </c>
      <c r="C97" s="60" t="s">
        <v>339</v>
      </c>
    </row>
    <row r="98">
      <c r="A98" s="128">
        <v>92.0</v>
      </c>
      <c r="C98" s="60" t="s">
        <v>340</v>
      </c>
    </row>
    <row r="99">
      <c r="A99" s="128">
        <v>93.0</v>
      </c>
      <c r="C99" s="60" t="s">
        <v>341</v>
      </c>
    </row>
    <row r="100">
      <c r="A100" s="128">
        <v>94.0</v>
      </c>
      <c r="C100" s="60" t="s">
        <v>342</v>
      </c>
    </row>
    <row r="101">
      <c r="A101" s="128">
        <v>95.0</v>
      </c>
      <c r="C101" s="60" t="s">
        <v>343</v>
      </c>
    </row>
    <row r="102">
      <c r="A102" s="128">
        <v>96.0</v>
      </c>
      <c r="C102" s="60" t="s">
        <v>344</v>
      </c>
    </row>
    <row r="103">
      <c r="A103" s="128">
        <v>97.0</v>
      </c>
      <c r="C103" s="60" t="s">
        <v>345</v>
      </c>
    </row>
    <row r="104">
      <c r="A104" s="128">
        <v>98.0</v>
      </c>
      <c r="C104" s="60" t="s">
        <v>346</v>
      </c>
    </row>
    <row r="105">
      <c r="A105" s="128">
        <v>99.0</v>
      </c>
      <c r="B105" s="130" t="s">
        <v>347</v>
      </c>
      <c r="C105" s="130" t="s">
        <v>250</v>
      </c>
    </row>
    <row r="106">
      <c r="A106" s="128">
        <v>100.0</v>
      </c>
      <c r="B106" s="130" t="s">
        <v>54</v>
      </c>
    </row>
    <row r="107">
      <c r="A107" s="128"/>
    </row>
  </sheetData>
  <mergeCells count="3">
    <mergeCell ref="A1:F3"/>
    <mergeCell ref="A4:F4"/>
    <mergeCell ref="E8:F15"/>
  </mergeCells>
  <hyperlinks>
    <hyperlink r:id="rId1" ref="A4"/>
    <hyperlink r:id="rId2" ref="C7"/>
    <hyperlink r:id="rId3" ref="C10"/>
    <hyperlink r:id="rId4" ref="C22"/>
    <hyperlink r:id="rId5" ref="C24"/>
    <hyperlink r:id="rId6" ref="C27"/>
    <hyperlink r:id="rId7" ref="C29"/>
    <hyperlink r:id="rId8" ref="C31"/>
    <hyperlink r:id="rId9" ref="C33"/>
    <hyperlink r:id="rId10" ref="C34"/>
    <hyperlink r:id="rId11" ref="C35"/>
    <hyperlink r:id="rId12" ref="C37"/>
    <hyperlink r:id="rId13" ref="C38"/>
    <hyperlink r:id="rId14" ref="C40"/>
    <hyperlink r:id="rId15" ref="C41"/>
    <hyperlink r:id="rId16" ref="C42"/>
    <hyperlink r:id="rId17" ref="C43"/>
    <hyperlink r:id="rId18" ref="C44"/>
    <hyperlink r:id="rId19" ref="C45"/>
    <hyperlink r:id="rId20" ref="C46"/>
    <hyperlink r:id="rId21" ref="C47"/>
    <hyperlink r:id="rId22" ref="C48"/>
    <hyperlink r:id="rId23" ref="C50"/>
    <hyperlink r:id="rId24" ref="C51"/>
    <hyperlink r:id="rId25" ref="C52"/>
    <hyperlink r:id="rId26" ref="C53"/>
    <hyperlink r:id="rId27" ref="C54"/>
    <hyperlink r:id="rId28" ref="C55"/>
    <hyperlink r:id="rId29" ref="C56"/>
    <hyperlink r:id="rId30" ref="C57"/>
    <hyperlink r:id="rId31" ref="C58"/>
    <hyperlink r:id="rId32" ref="C59"/>
    <hyperlink r:id="rId33" ref="C60"/>
    <hyperlink r:id="rId34" ref="C61"/>
    <hyperlink r:id="rId35" ref="C62"/>
    <hyperlink r:id="rId36" ref="C63"/>
    <hyperlink r:id="rId37" ref="C64"/>
    <hyperlink r:id="rId38" ref="C65"/>
    <hyperlink r:id="rId39" ref="C66"/>
    <hyperlink r:id="rId40" ref="C67"/>
    <hyperlink r:id="rId41" ref="C68"/>
    <hyperlink r:id="rId42" ref="C69"/>
    <hyperlink r:id="rId43" ref="C70"/>
    <hyperlink r:id="rId44" ref="C71"/>
    <hyperlink r:id="rId45" ref="C72"/>
    <hyperlink r:id="rId46" ref="C73"/>
    <hyperlink r:id="rId47" ref="C74"/>
    <hyperlink r:id="rId48" ref="C75"/>
    <hyperlink r:id="rId49" ref="C76"/>
    <hyperlink r:id="rId50" ref="C77"/>
    <hyperlink r:id="rId51" ref="C78"/>
    <hyperlink r:id="rId52" ref="C79"/>
    <hyperlink r:id="rId53" ref="C80"/>
    <hyperlink r:id="rId54" ref="C81"/>
    <hyperlink r:id="rId55" ref="C82"/>
    <hyperlink r:id="rId56" ref="C83"/>
    <hyperlink r:id="rId57" ref="C84"/>
    <hyperlink r:id="rId58" ref="C85"/>
    <hyperlink r:id="rId59" ref="C86"/>
    <hyperlink r:id="rId60" ref="C87"/>
    <hyperlink r:id="rId61" ref="C88"/>
    <hyperlink r:id="rId62" ref="C89"/>
    <hyperlink r:id="rId63" ref="C90"/>
    <hyperlink r:id="rId64" ref="C91"/>
    <hyperlink r:id="rId65" ref="C92"/>
    <hyperlink r:id="rId66" ref="C93"/>
    <hyperlink r:id="rId67" ref="C94"/>
    <hyperlink r:id="rId68" ref="C95"/>
    <hyperlink r:id="rId69" ref="C96"/>
    <hyperlink r:id="rId70" ref="C97"/>
    <hyperlink r:id="rId71" ref="C98"/>
    <hyperlink r:id="rId72" ref="C99"/>
    <hyperlink r:id="rId73" ref="C100"/>
    <hyperlink r:id="rId74" ref="C101"/>
    <hyperlink r:id="rId75" ref="C102"/>
    <hyperlink r:id="rId76" ref="C103"/>
    <hyperlink r:id="rId77" ref="C104"/>
  </hyperlinks>
  <drawing r:id="rId7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134" t="s">
        <v>348</v>
      </c>
      <c r="B1" s="134" t="s">
        <v>349</v>
      </c>
      <c r="C1" s="134" t="s">
        <v>350</v>
      </c>
      <c r="D1" s="134" t="s">
        <v>351</v>
      </c>
      <c r="E1" s="134" t="s">
        <v>352</v>
      </c>
      <c r="F1" s="134" t="s">
        <v>353</v>
      </c>
    </row>
    <row r="2">
      <c r="A2" s="130" t="s">
        <v>354</v>
      </c>
      <c r="B2" s="130" t="s">
        <v>41</v>
      </c>
      <c r="C2" s="130">
        <v>78.0</v>
      </c>
      <c r="D2" s="135">
        <v>0.193069307</v>
      </c>
      <c r="E2" s="130">
        <v>5792.079208</v>
      </c>
      <c r="F2" s="130">
        <v>5792.0</v>
      </c>
    </row>
    <row r="3">
      <c r="A3" s="130" t="s">
        <v>355</v>
      </c>
      <c r="B3" s="130" t="s">
        <v>56</v>
      </c>
      <c r="C3" s="130">
        <v>125.0</v>
      </c>
      <c r="D3" s="135">
        <v>0.309405941</v>
      </c>
      <c r="E3" s="130">
        <v>9282.178218</v>
      </c>
      <c r="F3" s="130">
        <v>9282.0</v>
      </c>
    </row>
    <row r="4">
      <c r="A4" s="130" t="s">
        <v>356</v>
      </c>
      <c r="B4" s="130" t="s">
        <v>66</v>
      </c>
      <c r="C4" s="130">
        <v>97.0</v>
      </c>
      <c r="D4" s="135">
        <v>0.24009901</v>
      </c>
      <c r="E4" s="130">
        <v>7202.970297</v>
      </c>
      <c r="F4" s="130">
        <v>7203.0</v>
      </c>
    </row>
    <row r="5">
      <c r="A5" s="130" t="s">
        <v>357</v>
      </c>
      <c r="B5" s="130" t="s">
        <v>72</v>
      </c>
      <c r="C5" s="130">
        <v>104.0</v>
      </c>
      <c r="D5" s="135">
        <v>0.257425743</v>
      </c>
      <c r="E5" s="130">
        <v>7722.772277</v>
      </c>
      <c r="F5" s="130">
        <v>7723.0</v>
      </c>
    </row>
    <row r="6">
      <c r="C6" s="130">
        <v>404.0</v>
      </c>
      <c r="E6" s="130">
        <v>30000.0</v>
      </c>
      <c r="F6" s="130">
        <v>30000.0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3">
      <c r="B3" s="136" t="s">
        <v>358</v>
      </c>
      <c r="C3" s="60" t="s">
        <v>359</v>
      </c>
    </row>
  </sheetData>
  <hyperlinks>
    <hyperlink r:id="rId1" ref="C3"/>
  </hyperlinks>
  <drawing r:id="rId2"/>
</worksheet>
</file>