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 (歡迎坑主填寫您的專案位置)" sheetId="2" r:id="rId4"/>
  </sheets>
  <definedNames/>
  <calcPr/>
</workbook>
</file>

<file path=xl/sharedStrings.xml><?xml version="1.0" encoding="utf-8"?>
<sst xmlns="http://schemas.openxmlformats.org/spreadsheetml/2006/main" count="496" uniqueCount="312">
  <si>
    <t>順序</t>
  </si>
  <si>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</si>
  <si>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</si>
  <si>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</si>
  <si>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</si>
  <si>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</si>
  <si>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</si>
  <si>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</si>
  <si>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</si>
  <si>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r>
      <rPr>
        <b/>
        <sz val="10.0"/>
      </rPr>
      <t xml:space="preserve">g0v Podcast
</t>
    </r>
    <r>
      <rPr>
        <b/>
        <color rgb="FF1155CC"/>
        <sz val="10.0"/>
        <u/>
      </rPr>
      <t>松後推坑電台</t>
    </r>
    <r>
      <rPr>
        <b/>
        <sz val="10.0"/>
      </rPr>
      <t xml:space="preserve">
受訪意願? (Y/?)</t>
    </r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</si>
  <si>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</si>
  <si>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</si>
  <si>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</si>
  <si>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</si>
  <si>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</si>
  <si>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
Contacts</t>
  </si>
  <si>
    <t>youtube url: 專案報告 或是 預錄影片</t>
  </si>
  <si>
    <t>youtube url: 成果報告</t>
  </si>
  <si>
    <t>youtube title</t>
  </si>
  <si>
    <t>09:50 開場，10:00 提案開始【3分鐘提案報名】每個 present 3min，提案、徵人。Project Registration</t>
  </si>
  <si>
    <t>＊無法實體出席者，建議以預錄影片提案。並將提案影片連結填在欄位「O：youtube url 或是 預錄影片」We recommand you pre-record a project introduction video if you can't make it on-site.</t>
  </si>
  <si>
    <t>Teemo</t>
  </si>
  <si>
    <t>實體</t>
  </si>
  <si>
    <t>Y</t>
  </si>
  <si>
    <t>TW-Bench</t>
  </si>
  <si>
    <t>給大語言模型的台灣考卷</t>
  </si>
  <si>
    <t>CC0</t>
  </si>
  <si>
    <t>https://www.canva.com/design/DAF2YSlSkpg/cumqxJl2_OtfQa-rJDRL5Q/view</t>
  </si>
  <si>
    <t>台灣人的、民主化、LLM</t>
  </si>
  <si>
    <t>很多問題想提問的人</t>
  </si>
  <si>
    <t xml:space="preserve">g0v slack @Teemo #tw-bench
</t>
  </si>
  <si>
    <t>Isabel</t>
  </si>
  <si>
    <t>Ｙ</t>
  </si>
  <si>
    <t>Taiwan AI Assembly「以審議探索台灣 AI 發展與治理共識」</t>
  </si>
  <si>
    <t>生成式 AI 與教師工作的整合，一起來審議討論吧 !</t>
  </si>
  <si>
    <t>CC BY</t>
  </si>
  <si>
    <t>https://hackmd.io/k0hMoHegRYOCNjCIWdJ7tA?edit</t>
  </si>
  <si>
    <t>https://docs.google.com/presentation/d/165-tD9YLeY_YA6bTiySZ2IYbFjKzP1GRHJq0Z_c3JRo/edit#slide=id.g263348d5d4d_0_151</t>
  </si>
  <si>
    <t>生成式 AI, 審議, 教師工作</t>
  </si>
  <si>
    <r>
      <rPr/>
      <t xml:space="preserve">邀請老師們
(1) 填寫問卷 </t>
    </r>
    <r>
      <rPr>
        <color rgb="FF1155CC"/>
        <u/>
      </rPr>
      <t>https://docs.google.com/forms/d/e/1FAIpQLSfsravUrHsUbJNbxbHSbafLUXQrYI6xt-1KESL9atMEs7NyQQ/viewform</t>
    </r>
    <r>
      <rPr/>
      <t xml:space="preserve">
(2) 參加當天 11:30 AI 審議活動</t>
    </r>
  </si>
  <si>
    <t>@isabelhou</t>
  </si>
  <si>
    <t>chihao</t>
  </si>
  <si>
    <t>2024 選舉開放資料</t>
  </si>
  <si>
    <t>2024 選舉、台灣政治</t>
  </si>
  <si>
    <t>https://g0v.hackmd.io/aUKn-iDeSXmR4HXk2yIvXQ</t>
  </si>
  <si>
    <t>https://docs.google.com/presentation/d/1r67TPSa20Uw_IfMVTODSC4WOb_SwiWw7BDWvRYVJrWQ/edit#</t>
  </si>
  <si>
    <t>選舉、開放資料</t>
  </si>
  <si>
    <t>玩資料、建資料、爬資料</t>
  </si>
  <si>
    <t>@chihao</t>
  </si>
  <si>
    <t>Stamford</t>
  </si>
  <si>
    <t>鏈上大松</t>
  </si>
  <si>
    <t>用 QR Code 鏈上參與大松</t>
  </si>
  <si>
    <t>https://docs.google.com/presentation/d/1j_tyHc_fpaFLkyPJCylNV_h2eevYU8I4rVfNdYZBFHs/edit#slide=id.g29c2703d9af_0_8</t>
  </si>
  <si>
    <t>fly</t>
  </si>
  <si>
    <t>預錄影片</t>
  </si>
  <si>
    <t>醬活</t>
  </si>
  <si>
    <t>開放、即興、自然地活著</t>
  </si>
  <si>
    <t>https://g0v.hackmd.io/@flyo/flyism</t>
  </si>
  <si>
    <t>https://k.flyism.org</t>
  </si>
  <si>
    <t>開放、即興、自然</t>
  </si>
  <si>
    <t>閱讀、聊天、遊戲、擁抱</t>
  </si>
  <si>
    <t>g0v slack #flyism @fly / fb.me/flyism / LINE: leovgrace</t>
  </si>
  <si>
    <t>https://youtu.be/NfnmWEhiBtg</t>
  </si>
  <si>
    <t>開放、即興、自然醬活著</t>
  </si>
  <si>
    <t>施逸翔</t>
  </si>
  <si>
    <t>台灣人權促進會</t>
  </si>
  <si>
    <t>遠洋漁工可以使用wi-fi嗎？ 那些漁船有裝沒裝看透透</t>
  </si>
  <si>
    <t xml:space="preserve">CC-BY </t>
  </si>
  <si>
    <t>https://www.tahr.org.tw/news/3322</t>
  </si>
  <si>
    <t>https://drive.google.com/file/d/1FCGJcKsregQW-y-W75STqis_xTqqlZww/view?usp=sharing</t>
  </si>
  <si>
    <t>漁工 、wi-fi 、強迫勞動</t>
  </si>
  <si>
    <t>LINE：riverrain30801</t>
  </si>
  <si>
    <t>Peter</t>
  </si>
  <si>
    <t xml:space="preserve">vTaiwan </t>
  </si>
  <si>
    <t>vTaiwan x 司法院</t>
  </si>
  <si>
    <t>y</t>
  </si>
  <si>
    <t>https://g0v.hackmd.io/@Pno233SAS8G5UfL5OvSRmA/r1fHm24Sa</t>
  </si>
  <si>
    <t>https://docs.google.com/presentation/d/1ZEN8iqXjGNo8mV_3isWebKO5xYFckmn_ZbAOzhVRsEM/edit?usp=sharing</t>
  </si>
  <si>
    <t>vTaiwan, AI, 司法院</t>
  </si>
  <si>
    <t>設計審議活動的人、對人工智慧有興趣的人</t>
  </si>
  <si>
    <t xml:space="preserve">@peter #vTaiwan </t>
  </si>
  <si>
    <t>MrOrz</t>
  </si>
  <si>
    <t>Cofacts 真的假的</t>
  </si>
  <si>
    <t>Cofacts 真的假的要被選舉訊息淹沒啦／
台灣選務謠言筆記</t>
  </si>
  <si>
    <t>MIT, 
CC-BY-SA</t>
  </si>
  <si>
    <t>https://cofacts.tw/hack</t>
  </si>
  <si>
    <t>https://docs.google.com/presentation/d/1KPqx0DCLR_h-6FfOv3qa94QuO70ZGwYSnOZNwAOBMZM/edit</t>
  </si>
  <si>
    <t>程式開發、事實查核、AI</t>
  </si>
  <si>
    <t>關心選務謠言的人
會 NodeJS / ReactJS 的人</t>
  </si>
  <si>
    <t xml:space="preserve">g0v slack #cofacts @mrorz </t>
  </si>
  <si>
    <t>卓致遠</t>
  </si>
  <si>
    <t>防災習慣養成</t>
  </si>
  <si>
    <t>任務化提升台灣防災準備</t>
  </si>
  <si>
    <t>https://www.notion.so/c534c381f1d24cbf89a2879b399f441f?pvs=4</t>
  </si>
  <si>
    <t>https://docs.google.com/presentation/d/1oWQyOfGsYmBAV75vg2A5tZFW_wwxNTAMn0voseBmEcc/edit?usp=sharing</t>
  </si>
  <si>
    <t>防災、UX、</t>
  </si>
  <si>
    <t>UX writing有興趣的人、工程師</t>
  </si>
  <si>
    <t>g0v slack #disaster-prevent @卓致遠</t>
  </si>
  <si>
    <t>Ronny</t>
  </si>
  <si>
    <t>OGP 體檢</t>
  </si>
  <si>
    <t>開放國會/開放政府行動方案總體檢</t>
  </si>
  <si>
    <t>https://docs.google.com/presentation/d/1M0F1ysUS8gq5NSCbc-8437khHZEXCfg7zdsunlQdIAQ/edit#slide=id.p</t>
  </si>
  <si>
    <t>RS Chiang</t>
  </si>
  <si>
    <t xml:space="preserve">g0v Summit </t>
  </si>
  <si>
    <t xml:space="preserve">g0v Summit 2024 </t>
  </si>
  <si>
    <t>https://g0v.hackmd.io/@summit2024/book/https%3A%2F%2Fg0v.hackmd.io%2FdttYgGq1SmqCCp4ZntffZw</t>
  </si>
  <si>
    <t>https://docs.google.com/presentation/d/1Dh9wg_WWV6HhF7-vExUzGFyTomHAlzK8OBAyafMoYOI/edit?usp=sharing</t>
  </si>
  <si>
    <t>Irvin</t>
  </si>
  <si>
    <t>韌性松、
數位韌性、
戰時韌性</t>
  </si>
  <si>
    <r>
      <rPr/>
      <t xml:space="preserve">#civil-defense
第一次韌性松 12/30 ＠NPO Hub 
報名串 -&gt; </t>
    </r>
    <r>
      <rPr>
        <color rgb="FF1155CC"/>
        <u/>
      </rPr>
      <t>https://www.facebook.com/groups/g0v.general/posts/6804552242954457/</t>
    </r>
    <r>
      <rPr/>
      <t xml:space="preserve">
@paulpengtw
@billy3321
@chihao
災難分級表、重要網站列表與檢測、P2P通訊軟體測試     @Irvin      
數位韌性有很多面向，從海纜不通到導彈洗地到解放軍上門，不同的情境各有不同的需求與因應方案。今天我們將收集並歸納大家對於「災難」的不同想像，並且 mapping 公民社會 / g0v 現有的數位韌性相關提案。
網路模擬報告、重要防災資訊分流、防災地圖圖資        @ronny
防災資訊鏡像站點、防空避難所座標和圖資</t>
    </r>
  </si>
  <si>
    <t>https://g0v.hackmd.io/oyNRfe4lTuaZ5RbcPSS7TQ#自由提案報名區</t>
  </si>
  <si>
    <t>https://g0v.hackmd.io/oyNRfe4lTuaZ5RbcPSS7TQ#提案紀錄</t>
  </si>
  <si>
    <t>數位韌性、網路障礙、災難預防</t>
  </si>
  <si>
    <t>請到 #civil-defense 參考各專案的說明</t>
  </si>
  <si>
    <t>g0v slack #civil-defense</t>
  </si>
  <si>
    <t>嗡嗡</t>
  </si>
  <si>
    <t xml:space="preserve">Pride Watch </t>
  </si>
  <si>
    <t>Pride Watch 彩虹選民投票指南！看比不看更好投！</t>
  </si>
  <si>
    <t>https://g0v.hackmd.io/s/ryxLkgDCbh</t>
  </si>
  <si>
    <t>https://pridewatch.tw/</t>
  </si>
  <si>
    <t>政治選舉、多元性別、投票指南</t>
  </si>
  <si>
    <t>關心多元性別、政治選舉議題的人</t>
  </si>
  <si>
    <t>May</t>
  </si>
  <si>
    <t>美好食光</t>
  </si>
  <si>
    <t>減少超商剩食</t>
  </si>
  <si>
    <t>https://reurl.cc/E1kzjv</t>
  </si>
  <si>
    <t>食物浪費、剩食、改善飢餓</t>
  </si>
  <si>
    <t>YI</t>
  </si>
  <si>
    <t>自己的大松自己捐</t>
  </si>
  <si>
    <t>「自己的大松自己捐」熱烈募款中 &amp;「定期定額大鱔人」紀念貼紙試營運 &amp; 社群影響力報告 (2022.07-2023.06) 出爐囉 !＆龍年賀詞募集</t>
  </si>
  <si>
    <t>龍年賀詞募集：https://g0v.hackmd.io/@jothon/ry5TjRBhD</t>
  </si>
  <si>
    <t>自己的大松自己捐
影響力報告</t>
  </si>
  <si>
    <t>捐款支持社群、社群對於整體社會的影響力、來當大善人</t>
  </si>
  <si>
    <t>== 截止 ==</t>
  </si>
  <si>
    <t>以下是候補（一分鐘）已截止XD</t>
  </si>
  <si>
    <t>1 分鐘分享</t>
  </si>
  <si>
    <t>Moritz</t>
  </si>
  <si>
    <t>11:30-12:30 數位公共財哥來投票 - QV 平方投票 FOSS and Open data Playground</t>
  </si>
  <si>
    <t>Zoey</t>
  </si>
  <si>
    <t>FOSS and Open Data Playground回溯性獎助計畫</t>
  </si>
  <si>
    <t>成果發表開場及QV投票要點說明</t>
  </si>
  <si>
    <t>CC-BY</t>
  </si>
  <si>
    <t>https://g0v.hackmd.io/@XGx1OsqUTxqdSyZuNx_F5w/rkhXC70S6</t>
  </si>
  <si>
    <t>https://docs.google.com/presentation/d/1VcdjyZxEyVv833oVG5Xlp5JAozRao7Gm4Q6ip1Z_pdU/edit#slide=id.g29162202532_0_34</t>
  </si>
  <si>
    <t>黃宜品</t>
  </si>
  <si>
    <t>Desci - OpenDesign BioFabrication Device Project</t>
  </si>
  <si>
    <t>如何創造一個數位設計交流機制，以生物設計為範例出發</t>
  </si>
  <si>
    <t>CBE-Public Domain</t>
  </si>
  <si>
    <t>https://open-design-obygtm.flutterflow.app/</t>
  </si>
  <si>
    <t>https://docs.google.com/presentation/d/14Cj0MWqZXFvPGDTJW7JOhZAVMQ6HsQuM4JK1ANxfzJQ/edit#slide=id.p</t>
  </si>
  <si>
    <t>生物自造、共享設計、設計授權</t>
  </si>
  <si>
    <t>對生物自造、模組化NFT機制設計、新授權機制有興趣的人</t>
  </si>
  <si>
    <t>g0v slack #desci</t>
  </si>
  <si>
    <t>ddio</t>
  </si>
  <si>
    <t>Thaubing ESG 開放企業永續資料庫</t>
  </si>
  <si>
    <t>打造開源、開放的企業ESG資料庫</t>
  </si>
  <si>
    <t>程式碼 MIT ,文件與資料 CC-BY-NC 4.0</t>
  </si>
  <si>
    <t>https://g0v.hackmd.io/@ddio-io/open-csr-report/https%3A%2F%2Fg0v.hackmd.io%2F-wNbQMKHSm6vNhLoMjYIFw</t>
  </si>
  <si>
    <t>https://docs.google.com/presentation/d/1DdcFoj170Xoez1QleAhUg4NwhLzFMLNHIm6rXetpsBI/edit#slide=id.g2633659470e_5_106</t>
  </si>
  <si>
    <t>ESG、工人智慧、UIUX</t>
  </si>
  <si>
    <t>前端、UIUX 回饋</t>
  </si>
  <si>
    <t>#thaubing-esg</t>
  </si>
  <si>
    <t>Denken</t>
  </si>
  <si>
    <t>立法院大小聲</t>
  </si>
  <si>
    <t>開放國會的最後一哩路</t>
  </si>
  <si>
    <t>公眾領域</t>
  </si>
  <si>
    <t>https://www.craft.me/s/h8UBAHERtcXXcS</t>
  </si>
  <si>
    <t>https://youtu.be/2yo21QR0PK8</t>
  </si>
  <si>
    <t>立法院、人工智慧、理性討論</t>
  </si>
  <si>
    <t>g0v slack @denkeni</t>
  </si>
  <si>
    <t>立法院大小聲 @ 數位公共財哥來投票 × g0v hackath59n</t>
  </si>
  <si>
    <t>Peii</t>
  </si>
  <si>
    <t>disfactory</t>
  </si>
  <si>
    <t>Disfactory：一群想用科技工具改變政府的下班族</t>
  </si>
  <si>
    <r>
      <rPr/>
      <t xml:space="preserve">Code (MIT), Doc (MIT) </t>
    </r>
    <r>
      <rPr>
        <color rgb="FF1155CC"/>
        <u/>
      </rPr>
      <t>https://license.disfactory.tw/</t>
    </r>
  </si>
  <si>
    <t>https://g0v.hackmd.io/Lk9KiihIS7qQU6iZUTptWQ?both</t>
  </si>
  <si>
    <t>https://docs.google.com/presentation/d/1qENygOh17FvZyCswfEGskSZ21qKlTdkWTgLL3aN7RjI/edit#slide=id.g2633f6a4874_1_75</t>
  </si>
  <si>
    <t>違章工廠、群眾標記、遊戲</t>
  </si>
  <si>
    <t>PM、對使用者經驗有興趣的UI/UX設計師、前端 (Vue.js)、後端 (Python , Django Template)</t>
  </si>
  <si>
    <t>g0v slack #disfactory</t>
  </si>
  <si>
    <t>Cofacts</t>
  </si>
  <si>
    <t>投資 Cofacts 查核協作者的影響力</t>
  </si>
  <si>
    <t>CC BY-SA</t>
  </si>
  <si>
    <t>https://docs.google.com/presentation/d/10h3WEA2gUZDCiTJ-ay9geUrFPhP6vSPOgqZm1d0y3QI/edit#slide=id.g28caf866bb2_1_0</t>
  </si>
  <si>
    <t>會 google 的人
會 NodeJS / ReactJS 的人</t>
  </si>
  <si>
    <t>王信堯</t>
  </si>
  <si>
    <t>DeSci - DARTA</t>
  </si>
  <si>
    <t>創造一個醫療AI模型的機制，提供個人、學者或是醫療院所一個永續機制平台</t>
  </si>
  <si>
    <t>https://darta-q6nbl0.flutterflow.app</t>
  </si>
  <si>
    <t>https://youtu.be/qu5J-2nWx0Q</t>
  </si>
  <si>
    <t>資料擁有權、永續模型、醫療AI</t>
  </si>
  <si>
    <t>對醫療模型共享機制、聯邦學習、web3技術有興趣的人</t>
  </si>
  <si>
    <t>傅昶惟</t>
  </si>
  <si>
    <t>Shoutout</t>
  </si>
  <si>
    <t>Shoutout 感謝大聲公</t>
  </si>
  <si>
    <t>軟體 GPL 3.0
資料 CC BY-NC-ND 4.0</t>
  </si>
  <si>
    <t>https://airtable.com/appaXYbUbwh2fg528/shrzrw8ksuBi6KbzC/tblGGarQke7hMFwND/viwucpvgdUOF088o3?blocks=bipfObSSWl1KqPU7e</t>
  </si>
  <si>
    <t>https://www.canva.com/design/DAF2ZQlWXcU/u0LlVFgvkw8AkjcM052bWw/edit?utm_content=DAF2ZQlWXcU&amp;utm_campaign=designshare&amp;utm_medium=link2&amp;utm_source=sharebutton</t>
  </si>
  <si>
    <t>行走的激勵機制
聚集和呈現使用者各種貢獻
去中心化個人履歷</t>
  </si>
  <si>
    <t>1. Developer
(1) Blockchain Dev：協助評估功能、架構的資安風險
(2) FE Dev：設計展示 SO 紀錄的前端頁面
2. Designer
(1) UIUX：設計前端網頁的交互流程、SO Bot logo、前端畫面展示元素
3. Researcher
(1) 發想與研究 SO 使用場域、情境以及功能，並回饋給團隊實作</t>
  </si>
  <si>
    <t>g0v slack #da0-shoutout
@昶惟
@Kay</t>
  </si>
  <si>
    <t>Sejal</t>
  </si>
  <si>
    <t>Gitcoin QF Tool</t>
  </si>
  <si>
    <t>13:00-16:20【零時小學校師培】- Sch001 Education Lecture</t>
  </si>
  <si>
    <t>13:00
-13:40</t>
  </si>
  <si>
    <t>林穎俊老師</t>
  </si>
  <si>
    <t>-</t>
  </si>
  <si>
    <t>零時小學校師培講座</t>
  </si>
  <si>
    <t>【講座】「把問題問好」，教孩子如何與 AI 協作</t>
  </si>
  <si>
    <t>https://docs.google.com/presentation/d/1VoRG8r0HPpvz53MeDw7myN-54wfizMJAb4Tq_FEFBE4/edit#slide=id.g28bedf46c23_496_6885</t>
  </si>
  <si>
    <t>15:00
-15:20</t>
  </si>
  <si>
    <t>韓中梅老師</t>
  </si>
  <si>
    <t>零時小學校師培工作坊</t>
  </si>
  <si>
    <t>【講座】PBL 課程實作：從自己做專案到陪學生做專案解決日常問題</t>
  </si>
  <si>
    <t>師培分享投影片</t>
  </si>
  <si>
    <t>15:30
-16:20</t>
  </si>
  <si>
    <t>零時小學校</t>
  </si>
  <si>
    <t>【工作坊】
- PBL 數位解方案例與資源運用
- 共創 PBL 各階段資源盤點與應用
- 擬定數位工具、社群資源應用於課程／工作之計畫
- Q&amp;A</t>
  </si>
  <si>
    <t>https://docs.google.com/presentation/d/1SGDclSt9va9U_hZQN1seotgX5HdIDOTtmD7i0IllSNI/edit?usp=sharing</t>
  </si>
  <si>
    <t>14:30【8分鐘短講報名】
每個 present 8min，分享議題、專案、研究、技術皆可。Talk Registration</t>
  </si>
  <si>
    <t>發表時間（自填）</t>
  </si>
  <si>
    <t>短講形式
Form</t>
  </si>
  <si>
    <t>錄影以 CC-BY 釋出?</t>
  </si>
  <si>
    <t xml:space="preserve">短講授權
Talk License </t>
  </si>
  <si>
    <r>
      <rPr>
        <b/>
        <sz val="10.0"/>
      </rPr>
      <t xml:space="preserve">是否授權上架 </t>
    </r>
    <r>
      <rPr>
        <b/>
        <color rgb="FF1155CC"/>
        <sz val="10.0"/>
        <u/>
      </rPr>
      <t>g0v 零時電台</t>
    </r>
    <r>
      <rPr>
        <b/>
        <sz val="10.0"/>
      </rPr>
      <t>?(Y/?)</t>
    </r>
  </si>
  <si>
    <t>相關連結</t>
  </si>
  <si>
    <t>新參者友善（Y/?）
Newcomer-friendly?</t>
  </si>
  <si>
    <t>三個關鍵字
3 Keywords of talk</t>
  </si>
  <si>
    <t>hackath59n</t>
  </si>
  <si>
    <t>東興圳與周邊傳統民宅(客語海陸腔)</t>
  </si>
  <si>
    <t>N</t>
  </si>
  <si>
    <t>https://youtu.be/_6fbAS-ltsY</t>
  </si>
  <si>
    <t>https://www.canva.com/design/DAFyJo1jDzQ/ddMYWwPf9LfgplBCJm-xWQ/view</t>
  </si>
  <si>
    <t>竹北、東興圳、傳統民宅</t>
  </si>
  <si>
    <t xml:space="preserve">Peter </t>
  </si>
  <si>
    <t xml:space="preserve">把 vTaiwan 帶進 OpenAI 跟 CFJ </t>
  </si>
  <si>
    <t>cc-by</t>
  </si>
  <si>
    <t>https://docs.google.com/presentation/d/1ZLR3-np0rJRW5e0RC0EKmVlc_rCUMtECakoTCW1o5j4/edit?usp=sharing</t>
  </si>
  <si>
    <t>QF workshop @FtC</t>
  </si>
  <si>
    <t>https://docs.google.com/presentation/d/1EvGnxmAsDm0lXhNMFOg_C8eukaTuy0LcIu-EfsfHVss/edit#slide=id.g26359fbba1e_0_307</t>
  </si>
  <si>
    <t xml:space="preserve">Christian Grothoff </t>
  </si>
  <si>
    <t>數位發展部引介國際社群</t>
  </si>
  <si>
    <t>The privacy-preserving GNU Taler
payment system</t>
  </si>
  <si>
    <t>AGPLv3+</t>
  </si>
  <si>
    <t>http://docs.taler.net</t>
  </si>
  <si>
    <t>https://demo.taler.net</t>
  </si>
  <si>
    <t>本期開放3位8分鐘</t>
  </si>
  <si>
    <t>16:30【present project】 規則：
每個 present 5min，可視 project 數量和剩餘時間調整</t>
  </si>
  <si>
    <t>GNUnet</t>
  </si>
  <si>
    <t>RFC 9498: The GNU Name System</t>
  </si>
  <si>
    <t>GPLv3+</t>
  </si>
  <si>
    <t>https://gnunet.org</t>
  </si>
  <si>
    <t>tmonk</t>
  </si>
  <si>
    <t>2023 台灣政治總回顧</t>
  </si>
  <si>
    <t>MIT</t>
  </si>
  <si>
    <t>https://docs.google.com/presentation/d/1a4A3V-N-5Vcd31d2XBwj47bkKTZHt4Y5VQV2COdsxsE/edit?usp=sharing</t>
  </si>
  <si>
    <t>g0v slack @tmonk</t>
  </si>
  <si>
    <t>vTaiwan X 司法院</t>
  </si>
  <si>
    <t>鏈上大松💗</t>
  </si>
  <si>
    <t>Impact Markets / 影響力市場</t>
  </si>
  <si>
    <t>查理</t>
  </si>
  <si>
    <t>選前大補帖</t>
  </si>
  <si>
    <t>專案狀態與未來規劃</t>
  </si>
  <si>
    <t>www.voting-guide.tw</t>
  </si>
  <si>
    <t>taiwan.voting.guide@gmail.com</t>
  </si>
  <si>
    <t>平安走路許願帳戶</t>
  </si>
  <si>
    <t>公民參與交通治理</t>
  </si>
  <si>
    <t>專案共筆連結</t>
  </si>
  <si>
    <t>成果展示平台</t>
  </si>
  <si>
    <t>群眾標註、公民參與、交通治理</t>
  </si>
  <si>
    <t>專案管理、資料分析、GIS、UX、UI</t>
  </si>
  <si>
    <t>tmayhan@mail.ctsh.hcc.edu.tw</t>
  </si>
  <si>
    <t>RS chiang</t>
  </si>
  <si>
    <t>數位韌性</t>
  </si>
  <si>
    <t>災難分級表</t>
  </si>
  <si>
    <t>https://g0v.hackmd.io/@irvin/digital-disaster-level</t>
  </si>
  <si>
    <t>QV</t>
  </si>
  <si>
    <t>數位公共財哥來投票 - QV 平方投票 FOSS and Open data Playground</t>
  </si>
  <si>
    <t>邀請大家參與QV 平方投票，支持打造數位公共財的專案們！！</t>
  </si>
  <si>
    <t>Tiff, chewei</t>
  </si>
  <si>
    <t>零時小學校 &amp; Taiwan AI Assembly「以審議探索台灣 AI 發展與治理共識」</t>
  </si>
  <si>
    <t>零時小學校師培工作坊成果分享 &amp; 生成式 AI 結合教師工作-審議討論成果</t>
  </si>
  <si>
    <t>https://docs.google.com/presentation/d/1604E2mO-q1sGejour36_Hq22KKBVvP_FoBlGgAgQcXE/edit</t>
  </si>
  <si>
    <t>數位公民、師培、教育現場與 g0v 社群</t>
  </si>
  <si>
    <t>https://hackmd.io/mdt6FTWOSdi0CAAYwvVoeg?both</t>
  </si>
  <si>
    <t>OGP 健檢 / 數位候選人</t>
  </si>
  <si>
    <t>https://g0v.hackmd.io/@SA7CD7VRSp6Fcqw9CaElcQ/HJITWUbLa/%2FrV4_fGbJRM-agjnjcu7v5g</t>
  </si>
  <si>
    <t>https://docs.google.com/presentation/d/1-A6b9JgqZ32KUJyi0LUZeZkIokDmzW-c3d_9v2d412w/edit#slide=id.p</t>
  </si>
  <si>
    <t>揪松團</t>
  </si>
  <si>
    <t>歡迎大家填寫影響力問卷 &amp; 自己的大松自己捐 !</t>
  </si>
  <si>
    <t>主舞台：提案、平方投票專案介紹、零時小學校主題分享、短講、成果報告 🈵️</t>
  </si>
  <si>
    <t>災難分級表
摩茲工寮 hackerspace</t>
  </si>
  <si>
    <t>PrideWatch</t>
  </si>
  <si>
    <t>講台</t>
  </si>
  <si>
    <t>鏈上大松
Desci
Playgound QV
da0-Shoutout</t>
  </si>
  <si>
    <t>提升防災準備</t>
  </si>
  <si>
    <t>g0v summit 
vTaiwan</t>
  </si>
  <si>
    <t>真的假的</t>
  </si>
  <si>
    <t>報到桌</t>
  </si>
  <si>
    <t>OGP 開放政府體檢</t>
  </si>
  <si>
    <t>(專案名稱)</t>
  </si>
  <si>
    <t>廁所
🚾</t>
  </si>
  <si>
    <t>Disfactory
ESG 檢測儀
選前大補帖</t>
  </si>
  <si>
    <t>行人平安走路
便利商店剩食</t>
  </si>
  <si>
    <t>➜</t>
  </si>
  <si>
    <t>門</t>
  </si>
  <si>
    <t>選舉開放資料</t>
  </si>
  <si>
    <t>吃不完的食物 
☕
🍗
🍕
🍮</t>
  </si>
  <si>
    <t>AI 審議：生成式 AI 與教師工作的整合</t>
  </si>
  <si>
    <t>電鍋</t>
  </si>
  <si>
    <t>電視</t>
  </si>
  <si>
    <t>冰箱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</si>
</sst>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5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b/>
      <u/>
      <sz val="10.0"/>
      <color rgb="FF0000FF"/>
    </font>
    <font>
      <color rgb="FFFF9900"/>
    </font>
    <font>
      <sz val="10.0"/>
      <color rgb="FF000000"/>
    </font>
    <font/>
    <font>
      <u/>
      <color rgb="FF0000FF"/>
    </font>
    <font>
      <sz val="9.0"/>
      <color rgb="FF008000"/>
      <name val="&quot;Google Sans Mono&quot;"/>
    </font>
    <font>
      <u/>
      <color rgb="FF0000FF"/>
    </font>
    <font>
      <u/>
      <color rgb="FF0000FF"/>
    </font>
    <font>
      <u/>
      <color rgb="FF0000FF"/>
    </font>
    <font>
      <sz val="10.0"/>
    </font>
    <font>
      <u/>
      <color rgb="FF0000FF"/>
    </font>
    <font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1155CC"/>
    </font>
    <font>
      <color rgb="FF000000"/>
      <name val="Arial"/>
    </font>
    <font>
      <u/>
      <color rgb="FF1155CC"/>
    </font>
    <font>
      <u/>
      <color rgb="FF0000FF"/>
    </font>
    <font>
      <b/>
      <sz val="10.0"/>
      <color rgb="FF0000FF"/>
    </font>
    <font>
      <u/>
      <color rgb="FF0000FF"/>
    </font>
    <font>
      <u/>
      <sz val="11.0"/>
      <color rgb="FF0000FF"/>
    </font>
    <font>
      <u/>
      <color rgb="FF0000FF"/>
    </font>
    <font>
      <u/>
      <color rgb="FF0000FF"/>
    </font>
    <font>
      <u/>
      <sz val="11.0"/>
      <color rgb="FF2B80B9"/>
    </font>
    <font>
      <sz val="9.0"/>
      <color rgb="FF1F1F1F"/>
      <name val="&quot;Google Sans&quot;"/>
    </font>
    <font>
      <sz val="14.0"/>
    </font>
    <font>
      <sz val="12.0"/>
    </font>
    <font>
      <sz val="6.0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6" fontId="10" numFmtId="0" xfId="0" applyAlignment="1" applyFill="1" applyFon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5" fontId="8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5" fontId="8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6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wrapText="1"/>
    </xf>
    <xf borderId="0" fillId="5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readingOrder="0" shrinkToFit="0" wrapText="1"/>
    </xf>
    <xf borderId="0" fillId="5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wrapText="1"/>
    </xf>
    <xf borderId="0" fillId="5" fontId="8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readingOrder="0" shrinkToFit="0" vertical="center" wrapText="1"/>
    </xf>
    <xf quotePrefix="1"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vertical="top" wrapText="1"/>
    </xf>
    <xf borderId="0" fillId="0" fontId="8" numFmtId="20" xfId="0" applyAlignment="1" applyFont="1" applyNumberFormat="1">
      <alignment horizontal="center" readingOrder="0" shrinkToFit="0" vertical="top" wrapText="1"/>
    </xf>
    <xf borderId="0" fillId="3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6" fontId="8" numFmtId="0" xfId="0" applyAlignment="1" applyFont="1">
      <alignment horizontal="center" readingOrder="0" shrinkToFit="0" vertical="top" wrapText="1"/>
    </xf>
    <xf borderId="0" fillId="0" fontId="23" numFmtId="0" xfId="0" applyAlignment="1" applyFont="1">
      <alignment readingOrder="0" shrinkToFit="0" vertical="top" wrapText="1"/>
    </xf>
    <xf borderId="0" fillId="0" fontId="24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6" fontId="16" numFmtId="0" xfId="0" applyAlignment="1" applyFont="1">
      <alignment horizontal="center" shrinkToFit="0" vertical="bottom" wrapText="1"/>
    </xf>
    <xf borderId="0" fillId="6" fontId="16" numFmtId="0" xfId="0" applyAlignment="1" applyFont="1">
      <alignment horizontal="center" shrinkToFit="0" vertical="center" wrapText="1"/>
    </xf>
    <xf borderId="0" fillId="3" fontId="16" numFmtId="0" xfId="0" applyAlignment="1" applyFont="1">
      <alignment shrinkToFit="0" wrapText="1"/>
    </xf>
    <xf borderId="0" fillId="6" fontId="16" numFmtId="0" xfId="0" applyAlignment="1" applyFont="1">
      <alignment horizontal="left" shrinkToFit="0" vertical="center" wrapText="1"/>
    </xf>
    <xf borderId="0" fillId="6" fontId="16" numFmtId="0" xfId="0" applyAlignment="1" applyFont="1">
      <alignment shrinkToFit="0" vertical="center" wrapText="1"/>
    </xf>
    <xf borderId="0" fillId="7" fontId="8" numFmtId="0" xfId="0" applyAlignment="1" applyFill="1" applyFont="1">
      <alignment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quotePrefix="1" borderId="0" fillId="7" fontId="14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left" readingOrder="0"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6" fontId="10" numFmtId="0" xfId="0" applyAlignment="1" applyFont="1">
      <alignment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6" fontId="22" numFmtId="20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0" fillId="6" fontId="22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wrapText="1"/>
    </xf>
    <xf borderId="0" fillId="6" fontId="0" numFmtId="0" xfId="0" applyAlignment="1" applyFont="1">
      <alignment horizontal="left" readingOrder="0" shrinkToFit="0" vertical="center" wrapText="1"/>
    </xf>
    <xf borderId="0" fillId="6" fontId="0" numFmtId="0" xfId="0" applyAlignment="1" applyFont="1">
      <alignment readingOrder="0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6" fontId="31" numFmtId="0" xfId="0" applyAlignment="1" applyFont="1">
      <alignment horizontal="center" readingOrder="0" shrinkToFit="0" wrapText="1"/>
    </xf>
    <xf borderId="0" fillId="6" fontId="14" numFmtId="0" xfId="0" applyAlignment="1" applyFont="1">
      <alignment horizontal="center" readingOrder="0" shrinkToFit="0" wrapText="1"/>
    </xf>
    <xf borderId="0" fillId="6" fontId="14" numFmtId="0" xfId="0" applyAlignment="1" applyFont="1">
      <alignment horizontal="left" readingOrder="0" shrinkToFit="0" wrapText="1"/>
    </xf>
    <xf borderId="0" fillId="6" fontId="14" numFmtId="0" xfId="0" applyAlignment="1" applyFont="1">
      <alignment horizontal="left" readingOrder="0" shrinkToFit="0" wrapText="1"/>
    </xf>
    <xf borderId="2" fillId="5" fontId="32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5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8" fontId="8" numFmtId="0" xfId="0" applyAlignment="1" applyBorder="1" applyFill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shrinkToFit="0" wrapText="1"/>
    </xf>
    <xf borderId="8" fillId="0" fontId="8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shrinkToFit="0" vertical="center" wrapText="1"/>
    </xf>
    <xf borderId="5" fillId="10" fontId="8" numFmtId="0" xfId="0" applyAlignment="1" applyBorder="1" applyFill="1" applyFont="1">
      <alignment horizontal="center" readingOrder="0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wrapText="1"/>
    </xf>
    <xf borderId="8" fillId="8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2yo21QR0PK8" TargetMode="External"/><Relationship Id="rId42" Type="http://schemas.openxmlformats.org/officeDocument/2006/relationships/hyperlink" Target="https://g0v.hackmd.io/Lk9KiihIS7qQU6iZUTptWQ?both" TargetMode="External"/><Relationship Id="rId41" Type="http://schemas.openxmlformats.org/officeDocument/2006/relationships/hyperlink" Target="https://license.disfactory.tw/" TargetMode="External"/><Relationship Id="rId44" Type="http://schemas.openxmlformats.org/officeDocument/2006/relationships/hyperlink" Target="https://cofacts.tw/hack" TargetMode="External"/><Relationship Id="rId43" Type="http://schemas.openxmlformats.org/officeDocument/2006/relationships/hyperlink" Target="https://docs.google.com/presentation/d/1qENygOh17FvZyCswfEGskSZ21qKlTdkWTgLL3aN7RjI/edit" TargetMode="External"/><Relationship Id="rId46" Type="http://schemas.openxmlformats.org/officeDocument/2006/relationships/hyperlink" Target="https://darta-q6nbl0.flutterflow.app" TargetMode="External"/><Relationship Id="rId45" Type="http://schemas.openxmlformats.org/officeDocument/2006/relationships/hyperlink" Target="https://docs.google.com/presentation/d/10h3WEA2gUZDCiTJ-ay9geUrFPhP6vSPOgqZm1d0y3QI/edit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g0v.hackmd.io/@jothon/BJ6ymwPfT" TargetMode="External"/><Relationship Id="rId2" Type="http://schemas.openxmlformats.org/officeDocument/2006/relationships/hyperlink" Target="https://www.canva.com/design/DAF2YSlSkpg/cumqxJl2_OtfQa-rJDRL5Q/view" TargetMode="External"/><Relationship Id="rId3" Type="http://schemas.openxmlformats.org/officeDocument/2006/relationships/hyperlink" Target="https://hackmd.io/k0hMoHegRYOCNjCIWdJ7tA?edit" TargetMode="External"/><Relationship Id="rId4" Type="http://schemas.openxmlformats.org/officeDocument/2006/relationships/hyperlink" Target="https://docs.google.com/presentation/d/165-tD9YLeY_YA6bTiySZ2IYbFjKzP1GRHJq0Z_c3JRo/edit" TargetMode="External"/><Relationship Id="rId9" Type="http://schemas.openxmlformats.org/officeDocument/2006/relationships/hyperlink" Target="https://g0v.hackmd.io/@flyo/flyism" TargetMode="External"/><Relationship Id="rId48" Type="http://schemas.openxmlformats.org/officeDocument/2006/relationships/hyperlink" Target="https://youtu.be/qu5J-2nWx0Q" TargetMode="External"/><Relationship Id="rId47" Type="http://schemas.openxmlformats.org/officeDocument/2006/relationships/hyperlink" Target="https://youtu.be/qu5J-2nWx0Q" TargetMode="External"/><Relationship Id="rId49" Type="http://schemas.openxmlformats.org/officeDocument/2006/relationships/hyperlink" Target="https://airtable.com/appaXYbUbwh2fg528/shrzrw8ksuBi6KbzC/tblGGarQke7hMFwND/viwucpvgdUOF088o3?blocks=bipfObSSWl1KqPU7e" TargetMode="External"/><Relationship Id="rId5" Type="http://schemas.openxmlformats.org/officeDocument/2006/relationships/hyperlink" Target="https://docs.google.com/forms/d/e/1FAIpQLSfsravUrHsUbJNbxbHSbafLUXQrYI6xt-1KESL9atMEs7NyQQ/viewform" TargetMode="External"/><Relationship Id="rId6" Type="http://schemas.openxmlformats.org/officeDocument/2006/relationships/hyperlink" Target="https://g0v.hackmd.io/aUKn-iDeSXmR4HXk2yIvXQ" TargetMode="External"/><Relationship Id="rId7" Type="http://schemas.openxmlformats.org/officeDocument/2006/relationships/hyperlink" Target="https://docs.google.com/presentation/d/1r67TPSa20Uw_IfMVTODSC4WOb_SwiWw7BDWvRYVJrWQ/edit" TargetMode="External"/><Relationship Id="rId8" Type="http://schemas.openxmlformats.org/officeDocument/2006/relationships/hyperlink" Target="https://docs.google.com/presentation/d/1j_tyHc_fpaFLkyPJCylNV_h2eevYU8I4rVfNdYZBFHs/edit" TargetMode="External"/><Relationship Id="rId73" Type="http://schemas.openxmlformats.org/officeDocument/2006/relationships/hyperlink" Target="https://g0v.hackmd.io/@irvin/digital-disaster-level" TargetMode="External"/><Relationship Id="rId72" Type="http://schemas.openxmlformats.org/officeDocument/2006/relationships/hyperlink" Target="https://docs.google.com/presentation/d/1Dh9wg_WWV6HhF7-vExUzGFyTomHAlzK8OBAyafMoYOI/edit?usp=sharing" TargetMode="External"/><Relationship Id="rId31" Type="http://schemas.openxmlformats.org/officeDocument/2006/relationships/hyperlink" Target="https://g0v.hackmd.io/@jothon/g00d_nobody" TargetMode="External"/><Relationship Id="rId75" Type="http://schemas.openxmlformats.org/officeDocument/2006/relationships/hyperlink" Target="https://docs.google.com/presentation/d/1VcdjyZxEyVv833oVG5Xlp5JAozRao7Gm4Q6ip1Z_pdU/edit" TargetMode="External"/><Relationship Id="rId30" Type="http://schemas.openxmlformats.org/officeDocument/2006/relationships/hyperlink" Target="https://reurl.cc/E1kzjv" TargetMode="External"/><Relationship Id="rId74" Type="http://schemas.openxmlformats.org/officeDocument/2006/relationships/hyperlink" Target="https://g0v.hackmd.io/@XGx1OsqUTxqdSyZuNx_F5w/rkhXC70S6" TargetMode="External"/><Relationship Id="rId33" Type="http://schemas.openxmlformats.org/officeDocument/2006/relationships/hyperlink" Target="https://docs.google.com/presentation/d/1VcdjyZxEyVv833oVG5Xlp5JAozRao7Gm4Q6ip1Z_pdU/edit" TargetMode="External"/><Relationship Id="rId77" Type="http://schemas.openxmlformats.org/officeDocument/2006/relationships/hyperlink" Target="https://hackmd.io/mdt6FTWOSdi0CAAYwvVoeg?both" TargetMode="External"/><Relationship Id="rId32" Type="http://schemas.openxmlformats.org/officeDocument/2006/relationships/hyperlink" Target="https://g0v.hackmd.io/@XGx1OsqUTxqdSyZuNx_F5w/rkhXC70S6" TargetMode="External"/><Relationship Id="rId76" Type="http://schemas.openxmlformats.org/officeDocument/2006/relationships/hyperlink" Target="https://docs.google.com/presentation/d/1604E2mO-q1sGejour36_Hq22KKBVvP_FoBlGgAgQcXE/edit" TargetMode="External"/><Relationship Id="rId35" Type="http://schemas.openxmlformats.org/officeDocument/2006/relationships/hyperlink" Target="https://docs.google.com/presentation/d/14Cj0MWqZXFvPGDTJW7JOhZAVMQ6HsQuM4JK1ANxfzJQ/edit" TargetMode="External"/><Relationship Id="rId79" Type="http://schemas.openxmlformats.org/officeDocument/2006/relationships/hyperlink" Target="https://docs.google.com/presentation/d/1-A6b9JgqZ32KUJyi0LUZeZkIokDmzW-c3d_9v2d412w/edit" TargetMode="External"/><Relationship Id="rId34" Type="http://schemas.openxmlformats.org/officeDocument/2006/relationships/hyperlink" Target="https://open-design-obygtm.flutterflow.app/" TargetMode="External"/><Relationship Id="rId78" Type="http://schemas.openxmlformats.org/officeDocument/2006/relationships/hyperlink" Target="https://g0v.hackmd.io/@SA7CD7VRSp6Fcqw9CaElcQ/HJITWUbLa/%2FrV4_fGbJRM-agjnjcu7v5g" TargetMode="External"/><Relationship Id="rId71" Type="http://schemas.openxmlformats.org/officeDocument/2006/relationships/hyperlink" Target="https://commusidewalk-app.vercel.app/pr" TargetMode="External"/><Relationship Id="rId70" Type="http://schemas.openxmlformats.org/officeDocument/2006/relationships/hyperlink" Target="https://docs.google.com/document/d/1b_00BjDMkuyZISHzfEKU9DDw32BqmQ95k-O-bshxBQ0/edit" TargetMode="External"/><Relationship Id="rId37" Type="http://schemas.openxmlformats.org/officeDocument/2006/relationships/hyperlink" Target="https://docs.google.com/presentation/d/1DdcFoj170Xoez1QleAhUg4NwhLzFMLNHIm6rXetpsBI/edit" TargetMode="External"/><Relationship Id="rId36" Type="http://schemas.openxmlformats.org/officeDocument/2006/relationships/hyperlink" Target="https://g0v.hackmd.io/@ddio-io/open-csr-report/https%3A%2F%2Fg0v.hackmd.io%2F-wNbQMKHSm6vNhLoMjYIFw" TargetMode="External"/><Relationship Id="rId39" Type="http://schemas.openxmlformats.org/officeDocument/2006/relationships/hyperlink" Target="https://youtu.be/2yo21QR0PK8" TargetMode="External"/><Relationship Id="rId38" Type="http://schemas.openxmlformats.org/officeDocument/2006/relationships/hyperlink" Target="https://www.craft.me/s/h8UBAHERtcXXcS" TargetMode="External"/><Relationship Id="rId62" Type="http://schemas.openxmlformats.org/officeDocument/2006/relationships/hyperlink" Target="https://gnunet.org/" TargetMode="External"/><Relationship Id="rId61" Type="http://schemas.openxmlformats.org/officeDocument/2006/relationships/hyperlink" Target="https://demo.taler.net/" TargetMode="External"/><Relationship Id="rId20" Type="http://schemas.openxmlformats.org/officeDocument/2006/relationships/hyperlink" Target="https://docs.google.com/presentation/d/1oWQyOfGsYmBAV75vg2A5tZFW_wwxNTAMn0voseBmEcc/edit?usp=sharing" TargetMode="External"/><Relationship Id="rId64" Type="http://schemas.openxmlformats.org/officeDocument/2006/relationships/hyperlink" Target="https://docs.google.com/presentation/d/1a4A3V-N-5Vcd31d2XBwj47bkKTZHt4Y5VQV2COdsxsE/edit?usp=sharing" TargetMode="External"/><Relationship Id="rId63" Type="http://schemas.openxmlformats.org/officeDocument/2006/relationships/hyperlink" Target="https://g0v.hackmd.io/aUKn-iDeSXmR4HXk2yIvXQ" TargetMode="External"/><Relationship Id="rId22" Type="http://schemas.openxmlformats.org/officeDocument/2006/relationships/hyperlink" Target="https://docs.google.com/presentation/d/1M0F1ysUS8gq5NSCbc-8437khHZEXCfg7zdsunlQdIAQ/edit" TargetMode="External"/><Relationship Id="rId66" Type="http://schemas.openxmlformats.org/officeDocument/2006/relationships/hyperlink" Target="https://docs.google.com/presentation/d/1ZEN8iqXjGNo8mV_3isWebKO5xYFckmn_ZbAOzhVRsEM/edit?usp=sharing" TargetMode="External"/><Relationship Id="rId21" Type="http://schemas.openxmlformats.org/officeDocument/2006/relationships/hyperlink" Target="https://docs.google.com/presentation/d/1M0F1ysUS8gq5NSCbc-8437khHZEXCfg7zdsunlQdIAQ/edit" TargetMode="External"/><Relationship Id="rId65" Type="http://schemas.openxmlformats.org/officeDocument/2006/relationships/hyperlink" Target="https://g0v.hackmd.io/@Pno233SAS8G5UfL5OvSRmA/r1fHm24Sa" TargetMode="External"/><Relationship Id="rId24" Type="http://schemas.openxmlformats.org/officeDocument/2006/relationships/hyperlink" Target="https://docs.google.com/presentation/d/1Dh9wg_WWV6HhF7-vExUzGFyTomHAlzK8OBAyafMoYOI/edit?usp=sharing" TargetMode="External"/><Relationship Id="rId68" Type="http://schemas.openxmlformats.org/officeDocument/2006/relationships/hyperlink" Target="http://www.voting-guide.tw/" TargetMode="External"/><Relationship Id="rId23" Type="http://schemas.openxmlformats.org/officeDocument/2006/relationships/hyperlink" Target="https://g0v.hackmd.io/@summit2024/book/https%3A%2F%2Fg0v.hackmd.io%2FdttYgGq1SmqCCp4ZntffZw" TargetMode="External"/><Relationship Id="rId67" Type="http://schemas.openxmlformats.org/officeDocument/2006/relationships/hyperlink" Target="https://docs.google.com/presentation/d/1j_tyHc_fpaFLkyPJCylNV_h2eevYU8I4rVfNdYZBFHs/edit" TargetMode="External"/><Relationship Id="rId60" Type="http://schemas.openxmlformats.org/officeDocument/2006/relationships/hyperlink" Target="http://docs.taler.net/" TargetMode="External"/><Relationship Id="rId26" Type="http://schemas.openxmlformats.org/officeDocument/2006/relationships/hyperlink" Target="https://g0v.hackmd.io/oyNRfe4lTuaZ5RbcPSS7TQ" TargetMode="External"/><Relationship Id="rId25" Type="http://schemas.openxmlformats.org/officeDocument/2006/relationships/hyperlink" Target="https://www.facebook.com/groups/g0v.general/posts/6804552242954457/" TargetMode="External"/><Relationship Id="rId69" Type="http://schemas.openxmlformats.org/officeDocument/2006/relationships/hyperlink" Target="https://docs.google.com/presentation/d/1Hwyp-vaA4ydqM_nzITCOcpJj-OPGaW2u-oQsbKNthQs/edit?usp=sharing" TargetMode="External"/><Relationship Id="rId28" Type="http://schemas.openxmlformats.org/officeDocument/2006/relationships/hyperlink" Target="https://g0v.hackmd.io/s/ryxLkgDCbh" TargetMode="External"/><Relationship Id="rId27" Type="http://schemas.openxmlformats.org/officeDocument/2006/relationships/hyperlink" Target="https://g0v.hackmd.io/oyNRfe4lTuaZ5RbcPSS7TQ" TargetMode="External"/><Relationship Id="rId29" Type="http://schemas.openxmlformats.org/officeDocument/2006/relationships/hyperlink" Target="https://pridewatch.tw/" TargetMode="External"/><Relationship Id="rId51" Type="http://schemas.openxmlformats.org/officeDocument/2006/relationships/hyperlink" Target="https://docs.google.com/presentation/d/1VoRG8r0HPpvz53MeDw7myN-54wfizMJAb4Tq_FEFBE4/edit" TargetMode="External"/><Relationship Id="rId50" Type="http://schemas.openxmlformats.org/officeDocument/2006/relationships/hyperlink" Target="https://www.canva.com/design/DAF2ZQlWXcU/u0LlVFgvkw8AkjcM052bWw/edit?utm_content=DAF2ZQlWXcU&amp;utm_campaign=designshare&amp;utm_medium=link2&amp;utm_source=sharebutton" TargetMode="External"/><Relationship Id="rId53" Type="http://schemas.openxmlformats.org/officeDocument/2006/relationships/hyperlink" Target="https://docs.google.com/presentation/d/1SGDclSt9va9U_hZQN1seotgX5HdIDOTtmD7i0IllSNI/edit?usp=sharing" TargetMode="External"/><Relationship Id="rId52" Type="http://schemas.openxmlformats.org/officeDocument/2006/relationships/hyperlink" Target="https://docs.google.com/presentation/d/1d9-_BkWdiRH6hAHk1SHO41dXSAVglRNX7BXsiKIldZg/edit?usp=drive_link" TargetMode="External"/><Relationship Id="rId11" Type="http://schemas.openxmlformats.org/officeDocument/2006/relationships/hyperlink" Target="https://youtu.be/NfnmWEhiBtg" TargetMode="External"/><Relationship Id="rId55" Type="http://schemas.openxmlformats.org/officeDocument/2006/relationships/hyperlink" Target="https://youtu.be/_6fbAS-ltsY" TargetMode="External"/><Relationship Id="rId10" Type="http://schemas.openxmlformats.org/officeDocument/2006/relationships/hyperlink" Target="https://k.flyism.org" TargetMode="External"/><Relationship Id="rId54" Type="http://schemas.openxmlformats.org/officeDocument/2006/relationships/hyperlink" Target="https://g0v.hackmd.io/@jothon/BJ6ymwPfT" TargetMode="External"/><Relationship Id="rId13" Type="http://schemas.openxmlformats.org/officeDocument/2006/relationships/hyperlink" Target="https://www.tahr.org.tw/news/3322" TargetMode="External"/><Relationship Id="rId57" Type="http://schemas.openxmlformats.org/officeDocument/2006/relationships/hyperlink" Target="https://youtu.be/_6fbAS-ltsY" TargetMode="External"/><Relationship Id="rId12" Type="http://schemas.openxmlformats.org/officeDocument/2006/relationships/hyperlink" Target="https://youtu.be/NfnmWEhiBtg" TargetMode="External"/><Relationship Id="rId56" Type="http://schemas.openxmlformats.org/officeDocument/2006/relationships/hyperlink" Target="https://www.canva.com/design/DAFyJo1jDzQ/ddMYWwPf9LfgplBCJm-xWQ/view" TargetMode="External"/><Relationship Id="rId15" Type="http://schemas.openxmlformats.org/officeDocument/2006/relationships/hyperlink" Target="https://g0v.hackmd.io/@Pno233SAS8G5UfL5OvSRmA/r1fHm24Sa" TargetMode="External"/><Relationship Id="rId59" Type="http://schemas.openxmlformats.org/officeDocument/2006/relationships/hyperlink" Target="https://docs.google.com/presentation/d/1EvGnxmAsDm0lXhNMFOg_C8eukaTuy0LcIu-EfsfHVss/edit" TargetMode="External"/><Relationship Id="rId14" Type="http://schemas.openxmlformats.org/officeDocument/2006/relationships/hyperlink" Target="https://drive.google.com/file/d/1FCGJcKsregQW-y-W75STqis_xTqqlZww/view?usp=sharing" TargetMode="External"/><Relationship Id="rId58" Type="http://schemas.openxmlformats.org/officeDocument/2006/relationships/hyperlink" Target="https://docs.google.com/presentation/d/1ZLR3-np0rJRW5e0RC0EKmVlc_rCUMtECakoTCW1o5j4/edit?usp=sharing" TargetMode="External"/><Relationship Id="rId17" Type="http://schemas.openxmlformats.org/officeDocument/2006/relationships/hyperlink" Target="https://cofacts.tw/hack" TargetMode="External"/><Relationship Id="rId16" Type="http://schemas.openxmlformats.org/officeDocument/2006/relationships/hyperlink" Target="https://docs.google.com/presentation/d/1ZEN8iqXjGNo8mV_3isWebKO5xYFckmn_ZbAOzhVRsEM/edit?usp=sharing" TargetMode="External"/><Relationship Id="rId19" Type="http://schemas.openxmlformats.org/officeDocument/2006/relationships/hyperlink" Target="https://www.notion.so/c534c381f1d24cbf89a2879b399f441f?pvs=4" TargetMode="External"/><Relationship Id="rId18" Type="http://schemas.openxmlformats.org/officeDocument/2006/relationships/hyperlink" Target="https://docs.google.com/presentation/d/1KPqx0DCLR_h-6FfOv3qa94QuO70ZGwYSnOZNwAOBMZM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9.75"/>
    <col customWidth="1" min="6" max="6" width="6.13"/>
    <col customWidth="1" min="7" max="7" width="14.75"/>
    <col customWidth="1" min="8" max="8" width="29.13"/>
    <col customWidth="1" min="9" max="9" width="12.0"/>
    <col customWidth="1" min="10" max="10" width="13.75"/>
    <col customWidth="1" min="11" max="11" width="16.75"/>
    <col customWidth="1" min="12" max="12" width="20.13"/>
    <col customWidth="1" min="13" max="13" width="9.38"/>
    <col customWidth="1" min="14" max="14" width="18.38"/>
    <col customWidth="1" min="15" max="15" width="28.75"/>
    <col customWidth="1" min="16" max="16" width="22.5"/>
    <col customWidth="1" min="17" max="17" width="15.5"/>
    <col customWidth="1" min="18" max="19" width="18.13"/>
  </cols>
  <sheetData>
    <row r="1" ht="23.25" hidden="1" customHeight="1">
      <c r="A1" s="1"/>
      <c r="P1" s="1"/>
      <c r="Q1" s="2"/>
      <c r="R1" s="2"/>
      <c r="S1" s="2"/>
    </row>
    <row r="2" ht="15.0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4" t="s">
        <v>7</v>
      </c>
      <c r="I2" s="4" t="s">
        <v>8</v>
      </c>
      <c r="J2" s="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3" t="s">
        <v>17</v>
      </c>
      <c r="S2" s="4" t="s">
        <v>18</v>
      </c>
    </row>
    <row r="3" ht="15.0" customHeight="1">
      <c r="A3" s="8" t="s">
        <v>19</v>
      </c>
      <c r="S3" s="8"/>
    </row>
    <row r="4" ht="15.0" customHeight="1">
      <c r="A4" s="9" t="s">
        <v>20</v>
      </c>
      <c r="P4" s="9"/>
      <c r="Q4" s="9"/>
      <c r="R4" s="9"/>
      <c r="S4" s="10"/>
    </row>
    <row r="5" ht="22.5" customHeight="1">
      <c r="A5" s="11">
        <v>1.0</v>
      </c>
      <c r="B5" s="12">
        <v>0.4166666666666667</v>
      </c>
      <c r="C5" s="13"/>
      <c r="D5" s="13" t="s">
        <v>21</v>
      </c>
      <c r="E5" s="13" t="s">
        <v>22</v>
      </c>
      <c r="F5" s="14" t="s">
        <v>23</v>
      </c>
      <c r="G5" s="15" t="s">
        <v>24</v>
      </c>
      <c r="H5" s="16" t="s">
        <v>25</v>
      </c>
      <c r="I5" s="13" t="s">
        <v>26</v>
      </c>
      <c r="J5" s="17" t="s">
        <v>23</v>
      </c>
      <c r="K5" s="18"/>
      <c r="L5" s="19" t="s">
        <v>27</v>
      </c>
      <c r="M5" s="20" t="s">
        <v>23</v>
      </c>
      <c r="N5" s="16" t="s">
        <v>28</v>
      </c>
      <c r="O5" s="16" t="s">
        <v>29</v>
      </c>
      <c r="P5" s="16" t="s">
        <v>30</v>
      </c>
      <c r="Q5" s="16"/>
      <c r="R5" s="21"/>
      <c r="S5" s="22" t="str">
        <f>"g0v tw hackathXXn — 提案 — "&amp;G5&amp;" ／ "&amp;D5&amp;" — XXX黑客松"</f>
        <v>g0v tw hackathXXn — 提案 — TW-Bench ／ Teemo — XXX黑客松</v>
      </c>
    </row>
    <row r="6" ht="15.0" customHeight="1">
      <c r="A6" s="11">
        <v>2.0</v>
      </c>
      <c r="B6" s="12">
        <v>0.41875</v>
      </c>
      <c r="C6" s="13"/>
      <c r="D6" s="13" t="s">
        <v>31</v>
      </c>
      <c r="E6" s="13" t="s">
        <v>22</v>
      </c>
      <c r="F6" s="14" t="s">
        <v>32</v>
      </c>
      <c r="G6" s="15" t="s">
        <v>33</v>
      </c>
      <c r="H6" s="16" t="s">
        <v>34</v>
      </c>
      <c r="I6" s="23" t="s">
        <v>35</v>
      </c>
      <c r="J6" s="23" t="s">
        <v>23</v>
      </c>
      <c r="K6" s="24" t="s">
        <v>36</v>
      </c>
      <c r="L6" s="19" t="s">
        <v>37</v>
      </c>
      <c r="M6" s="20" t="s">
        <v>23</v>
      </c>
      <c r="N6" s="16" t="s">
        <v>38</v>
      </c>
      <c r="O6" s="24" t="s">
        <v>39</v>
      </c>
      <c r="P6" s="25" t="s">
        <v>40</v>
      </c>
      <c r="Q6" s="16"/>
      <c r="R6" s="21"/>
      <c r="S6" s="21"/>
    </row>
    <row r="7" ht="15.0" customHeight="1">
      <c r="A7" s="11">
        <v>3.0</v>
      </c>
      <c r="B7" s="12">
        <v>0.42083333333333334</v>
      </c>
      <c r="C7" s="13"/>
      <c r="D7" s="13" t="s">
        <v>41</v>
      </c>
      <c r="E7" s="13" t="s">
        <v>22</v>
      </c>
      <c r="F7" s="14" t="s">
        <v>23</v>
      </c>
      <c r="G7" s="26" t="s">
        <v>42</v>
      </c>
      <c r="H7" s="16" t="s">
        <v>43</v>
      </c>
      <c r="I7" s="13" t="s">
        <v>35</v>
      </c>
      <c r="J7" s="17" t="s">
        <v>23</v>
      </c>
      <c r="K7" s="27" t="s">
        <v>44</v>
      </c>
      <c r="L7" s="28" t="s">
        <v>45</v>
      </c>
      <c r="M7" s="20" t="s">
        <v>23</v>
      </c>
      <c r="N7" s="25" t="s">
        <v>46</v>
      </c>
      <c r="O7" s="25" t="s">
        <v>47</v>
      </c>
      <c r="P7" s="25" t="s">
        <v>48</v>
      </c>
      <c r="Q7" s="16"/>
      <c r="R7" s="21"/>
      <c r="S7" s="21"/>
    </row>
    <row r="8" ht="15.0" customHeight="1">
      <c r="A8" s="11">
        <v>4.0</v>
      </c>
      <c r="B8" s="12">
        <v>0.42291666666666666</v>
      </c>
      <c r="C8" s="13"/>
      <c r="D8" s="23" t="s">
        <v>49</v>
      </c>
      <c r="E8" s="13" t="s">
        <v>22</v>
      </c>
      <c r="F8" s="14"/>
      <c r="G8" s="15" t="s">
        <v>50</v>
      </c>
      <c r="H8" s="16" t="s">
        <v>51</v>
      </c>
      <c r="I8" s="13" t="s">
        <v>35</v>
      </c>
      <c r="J8" s="13" t="s">
        <v>23</v>
      </c>
      <c r="K8" s="29"/>
      <c r="L8" s="19" t="s">
        <v>52</v>
      </c>
      <c r="M8" s="30"/>
      <c r="N8" s="25"/>
      <c r="O8" s="25"/>
      <c r="P8" s="25"/>
    </row>
    <row r="9" ht="15.0" customHeight="1">
      <c r="A9" s="11">
        <v>5.0</v>
      </c>
      <c r="B9" s="12">
        <v>0.425</v>
      </c>
      <c r="C9" s="13"/>
      <c r="D9" s="13" t="s">
        <v>53</v>
      </c>
      <c r="E9" s="13" t="s">
        <v>54</v>
      </c>
      <c r="F9" s="14" t="s">
        <v>23</v>
      </c>
      <c r="G9" s="15" t="s">
        <v>55</v>
      </c>
      <c r="H9" s="16" t="s">
        <v>56</v>
      </c>
      <c r="I9" s="13" t="s">
        <v>26</v>
      </c>
      <c r="J9" s="13" t="s">
        <v>23</v>
      </c>
      <c r="K9" s="27" t="s">
        <v>57</v>
      </c>
      <c r="L9" s="31" t="s">
        <v>58</v>
      </c>
      <c r="M9" s="32" t="s">
        <v>23</v>
      </c>
      <c r="N9" s="16" t="s">
        <v>59</v>
      </c>
      <c r="O9" s="16" t="s">
        <v>60</v>
      </c>
      <c r="P9" s="16" t="s">
        <v>61</v>
      </c>
      <c r="Q9" s="27" t="s">
        <v>62</v>
      </c>
      <c r="R9" s="27" t="s">
        <v>62</v>
      </c>
      <c r="S9" s="16" t="s">
        <v>63</v>
      </c>
    </row>
    <row r="10" ht="15.0" customHeight="1">
      <c r="A10" s="11">
        <v>6.0</v>
      </c>
      <c r="B10" s="12">
        <v>0.4270833333333333</v>
      </c>
      <c r="C10" s="13"/>
      <c r="D10" s="13" t="s">
        <v>64</v>
      </c>
      <c r="E10" s="13" t="s">
        <v>54</v>
      </c>
      <c r="F10" s="14" t="s">
        <v>23</v>
      </c>
      <c r="G10" s="15" t="s">
        <v>65</v>
      </c>
      <c r="H10" s="16" t="s">
        <v>66</v>
      </c>
      <c r="I10" s="13" t="s">
        <v>67</v>
      </c>
      <c r="J10" s="13" t="s">
        <v>23</v>
      </c>
      <c r="K10" s="27" t="s">
        <v>68</v>
      </c>
      <c r="L10" s="31" t="s">
        <v>69</v>
      </c>
      <c r="M10" s="32" t="s">
        <v>23</v>
      </c>
      <c r="N10" s="33" t="s">
        <v>70</v>
      </c>
      <c r="O10" s="16"/>
      <c r="P10" s="16" t="s">
        <v>71</v>
      </c>
      <c r="Q10" s="16"/>
      <c r="R10" s="21"/>
      <c r="S10" s="21"/>
    </row>
    <row r="11" ht="18.0" customHeight="1">
      <c r="A11" s="11">
        <v>7.0</v>
      </c>
      <c r="B11" s="12">
        <v>0.42916666666666664</v>
      </c>
      <c r="C11" s="13"/>
      <c r="D11" s="23" t="s">
        <v>72</v>
      </c>
      <c r="E11" s="13" t="s">
        <v>22</v>
      </c>
      <c r="F11" s="14"/>
      <c r="G11" s="15" t="s">
        <v>73</v>
      </c>
      <c r="H11" s="16" t="s">
        <v>74</v>
      </c>
      <c r="I11" s="13" t="s">
        <v>67</v>
      </c>
      <c r="J11" s="13" t="s">
        <v>75</v>
      </c>
      <c r="K11" s="19" t="s">
        <v>76</v>
      </c>
      <c r="L11" s="27" t="s">
        <v>77</v>
      </c>
      <c r="M11" s="20" t="s">
        <v>23</v>
      </c>
      <c r="N11" s="34" t="s">
        <v>78</v>
      </c>
      <c r="O11" s="16" t="s">
        <v>79</v>
      </c>
      <c r="P11" s="16" t="s">
        <v>80</v>
      </c>
      <c r="Q11" s="16"/>
      <c r="R11" s="21"/>
      <c r="S11" s="21"/>
    </row>
    <row r="12" ht="15.0" customHeight="1">
      <c r="A12" s="11">
        <v>8.0</v>
      </c>
      <c r="B12" s="12">
        <v>0.43125</v>
      </c>
      <c r="C12" s="13"/>
      <c r="D12" s="13" t="s">
        <v>81</v>
      </c>
      <c r="E12" s="13" t="s">
        <v>22</v>
      </c>
      <c r="F12" s="14" t="s">
        <v>23</v>
      </c>
      <c r="G12" s="35" t="s">
        <v>82</v>
      </c>
      <c r="H12" s="36" t="s">
        <v>83</v>
      </c>
      <c r="I12" s="37" t="s">
        <v>84</v>
      </c>
      <c r="J12" s="13" t="s">
        <v>75</v>
      </c>
      <c r="K12" s="38" t="s">
        <v>85</v>
      </c>
      <c r="L12" s="38" t="s">
        <v>86</v>
      </c>
      <c r="M12" s="39" t="s">
        <v>23</v>
      </c>
      <c r="N12" s="40" t="s">
        <v>87</v>
      </c>
      <c r="O12" s="41" t="s">
        <v>88</v>
      </c>
      <c r="P12" s="40" t="s">
        <v>89</v>
      </c>
      <c r="Q12" s="16"/>
      <c r="R12" s="21"/>
      <c r="S12" s="21"/>
    </row>
    <row r="13" ht="15.0" customHeight="1">
      <c r="A13" s="11">
        <v>9.0</v>
      </c>
      <c r="B13" s="12">
        <v>0.43333333333333335</v>
      </c>
      <c r="C13" s="13"/>
      <c r="D13" s="13" t="s">
        <v>90</v>
      </c>
      <c r="E13" s="13" t="s">
        <v>22</v>
      </c>
      <c r="F13" s="14"/>
      <c r="G13" s="15" t="s">
        <v>91</v>
      </c>
      <c r="H13" s="16" t="s">
        <v>92</v>
      </c>
      <c r="I13" s="23"/>
      <c r="J13" s="13"/>
      <c r="K13" s="19" t="s">
        <v>93</v>
      </c>
      <c r="L13" s="19" t="s">
        <v>94</v>
      </c>
      <c r="M13" s="42"/>
      <c r="N13" s="16" t="s">
        <v>95</v>
      </c>
      <c r="O13" s="16" t="s">
        <v>96</v>
      </c>
      <c r="P13" s="16" t="s">
        <v>97</v>
      </c>
      <c r="Q13" s="16"/>
      <c r="R13" s="21"/>
      <c r="S13" s="21"/>
    </row>
    <row r="14" ht="15.0" customHeight="1">
      <c r="A14" s="11">
        <v>10.0</v>
      </c>
      <c r="B14" s="12">
        <v>0.4354166666666667</v>
      </c>
      <c r="C14" s="13"/>
      <c r="D14" s="23" t="s">
        <v>98</v>
      </c>
      <c r="E14" s="13" t="s">
        <v>22</v>
      </c>
      <c r="F14" s="43"/>
      <c r="G14" s="15" t="s">
        <v>99</v>
      </c>
      <c r="H14" s="16" t="s">
        <v>100</v>
      </c>
      <c r="I14" s="13" t="s">
        <v>67</v>
      </c>
      <c r="J14" s="13" t="s">
        <v>75</v>
      </c>
      <c r="K14" s="31" t="s">
        <v>101</v>
      </c>
      <c r="L14" s="31" t="s">
        <v>101</v>
      </c>
      <c r="M14" s="20" t="s">
        <v>23</v>
      </c>
      <c r="N14" s="25"/>
      <c r="O14" s="25"/>
      <c r="P14" s="25"/>
      <c r="Q14" s="16"/>
    </row>
    <row r="15" ht="15.0" customHeight="1">
      <c r="A15" s="11">
        <v>11.0</v>
      </c>
      <c r="B15" s="12">
        <v>0.4375</v>
      </c>
      <c r="C15" s="13"/>
      <c r="D15" s="13" t="s">
        <v>102</v>
      </c>
      <c r="E15" s="13" t="s">
        <v>22</v>
      </c>
      <c r="F15" s="14"/>
      <c r="G15" s="15" t="s">
        <v>103</v>
      </c>
      <c r="H15" s="16" t="s">
        <v>104</v>
      </c>
      <c r="I15" s="13" t="s">
        <v>67</v>
      </c>
      <c r="J15" s="13" t="s">
        <v>75</v>
      </c>
      <c r="K15" s="27" t="s">
        <v>105</v>
      </c>
      <c r="L15" s="28" t="s">
        <v>106</v>
      </c>
      <c r="M15" s="44"/>
      <c r="N15" s="45"/>
      <c r="O15" s="45"/>
      <c r="P15" s="45"/>
      <c r="Q15" s="16"/>
      <c r="R15" s="21"/>
      <c r="S15" s="21"/>
    </row>
    <row r="16" ht="58.5" customHeight="1">
      <c r="A16" s="46">
        <v>12.0</v>
      </c>
      <c r="B16" s="47">
        <v>0.4395833333333333</v>
      </c>
      <c r="C16" s="17"/>
      <c r="D16" s="46" t="s">
        <v>107</v>
      </c>
      <c r="E16" s="17" t="s">
        <v>22</v>
      </c>
      <c r="F16" s="48" t="s">
        <v>23</v>
      </c>
      <c r="G16" s="15" t="s">
        <v>108</v>
      </c>
      <c r="H16" s="49" t="s">
        <v>109</v>
      </c>
      <c r="I16" s="13" t="s">
        <v>26</v>
      </c>
      <c r="J16" s="13" t="s">
        <v>23</v>
      </c>
      <c r="K16" s="19" t="s">
        <v>110</v>
      </c>
      <c r="L16" s="50" t="s">
        <v>111</v>
      </c>
      <c r="M16" s="20" t="s">
        <v>23</v>
      </c>
      <c r="N16" s="13" t="s">
        <v>112</v>
      </c>
      <c r="O16" s="13" t="s">
        <v>113</v>
      </c>
      <c r="P16" s="13" t="s">
        <v>114</v>
      </c>
      <c r="Q16" s="51"/>
      <c r="R16" s="52"/>
      <c r="S16" s="52"/>
    </row>
    <row r="17" ht="47.25" customHeight="1">
      <c r="A17" s="11">
        <v>13.0</v>
      </c>
      <c r="B17" s="12">
        <v>0.44166666666666665</v>
      </c>
      <c r="C17" s="13"/>
      <c r="D17" s="53" t="s">
        <v>115</v>
      </c>
      <c r="E17" s="13" t="s">
        <v>22</v>
      </c>
      <c r="F17" s="54"/>
      <c r="G17" s="55" t="s">
        <v>116</v>
      </c>
      <c r="H17" s="56" t="s">
        <v>117</v>
      </c>
      <c r="I17" s="13"/>
      <c r="J17" s="13" t="s">
        <v>23</v>
      </c>
      <c r="K17" s="57" t="s">
        <v>118</v>
      </c>
      <c r="L17" s="19" t="s">
        <v>119</v>
      </c>
      <c r="M17" s="20" t="s">
        <v>23</v>
      </c>
      <c r="N17" s="16" t="s">
        <v>120</v>
      </c>
      <c r="O17" s="16" t="s">
        <v>121</v>
      </c>
      <c r="P17" s="16"/>
      <c r="Q17" s="16"/>
      <c r="R17" s="21"/>
      <c r="S17" s="21"/>
    </row>
    <row r="18" ht="15.0" customHeight="1">
      <c r="A18" s="11">
        <v>14.0</v>
      </c>
      <c r="B18" s="12">
        <v>0.44375</v>
      </c>
      <c r="C18" s="13"/>
      <c r="D18" s="53" t="s">
        <v>122</v>
      </c>
      <c r="E18" s="13" t="s">
        <v>22</v>
      </c>
      <c r="F18" s="48" t="s">
        <v>23</v>
      </c>
      <c r="G18" s="15" t="s">
        <v>123</v>
      </c>
      <c r="H18" s="25" t="s">
        <v>124</v>
      </c>
      <c r="I18" s="13" t="s">
        <v>67</v>
      </c>
      <c r="J18" s="23" t="s">
        <v>32</v>
      </c>
      <c r="L18" s="31" t="s">
        <v>125</v>
      </c>
      <c r="M18" s="20" t="s">
        <v>23</v>
      </c>
      <c r="N18" s="25" t="s">
        <v>126</v>
      </c>
    </row>
    <row r="19" ht="15.0" customHeight="1">
      <c r="A19" s="11">
        <v>15.0</v>
      </c>
      <c r="B19" s="12">
        <v>0.44583333333333336</v>
      </c>
      <c r="C19" s="13"/>
      <c r="D19" s="58" t="s">
        <v>127</v>
      </c>
      <c r="E19" s="13" t="s">
        <v>22</v>
      </c>
      <c r="F19" s="14"/>
      <c r="G19" s="26" t="s">
        <v>128</v>
      </c>
      <c r="H19" s="16" t="s">
        <v>129</v>
      </c>
      <c r="I19" s="13" t="s">
        <v>67</v>
      </c>
      <c r="J19" s="13" t="s">
        <v>75</v>
      </c>
      <c r="K19" s="13" t="s">
        <v>130</v>
      </c>
      <c r="L19" s="59" t="s">
        <v>131</v>
      </c>
      <c r="M19" s="20" t="s">
        <v>23</v>
      </c>
      <c r="N19" s="16" t="s">
        <v>132</v>
      </c>
      <c r="O19" s="16"/>
      <c r="P19" s="16"/>
      <c r="Q19" s="16"/>
      <c r="R19" s="21"/>
      <c r="S19" s="21"/>
    </row>
    <row r="20" ht="15.0" customHeight="1">
      <c r="A20" s="13"/>
      <c r="B20" s="12"/>
      <c r="C20" s="13"/>
      <c r="D20" s="60" t="s">
        <v>133</v>
      </c>
      <c r="E20" s="13"/>
      <c r="F20" s="14"/>
      <c r="G20" s="15"/>
      <c r="H20" s="16"/>
      <c r="I20" s="13"/>
      <c r="J20" s="13"/>
      <c r="K20" s="16"/>
      <c r="L20" s="16"/>
      <c r="M20" s="42"/>
      <c r="N20" s="16"/>
      <c r="O20" s="16"/>
      <c r="P20" s="16"/>
      <c r="Q20" s="16"/>
      <c r="R20" s="21"/>
      <c r="S20" s="21"/>
    </row>
    <row r="21" ht="15.0" customHeight="1">
      <c r="A21" s="13" t="s">
        <v>134</v>
      </c>
      <c r="F21" s="14"/>
      <c r="G21" s="61"/>
      <c r="H21" s="16"/>
      <c r="I21" s="13"/>
      <c r="J21" s="13"/>
      <c r="K21" s="16"/>
      <c r="L21" s="16"/>
      <c r="M21" s="42"/>
      <c r="N21" s="16"/>
      <c r="O21" s="16"/>
      <c r="P21" s="16"/>
      <c r="Q21" s="16"/>
      <c r="R21" s="21"/>
      <c r="S21" s="21"/>
    </row>
    <row r="22" ht="15.0" customHeight="1">
      <c r="A22" s="13"/>
      <c r="B22" s="13" t="s">
        <v>135</v>
      </c>
      <c r="C22" s="13"/>
      <c r="D22" s="58" t="s">
        <v>136</v>
      </c>
      <c r="E22" s="58" t="s">
        <v>22</v>
      </c>
      <c r="F22" s="62"/>
      <c r="G22" s="63"/>
      <c r="H22" s="64"/>
      <c r="I22" s="58"/>
      <c r="J22" s="58"/>
      <c r="K22" s="16"/>
      <c r="L22" s="18"/>
      <c r="M22" s="20"/>
      <c r="N22" s="16"/>
      <c r="O22" s="16"/>
      <c r="P22" s="16"/>
      <c r="Q22" s="16"/>
      <c r="R22" s="21"/>
      <c r="S22" s="21"/>
    </row>
    <row r="23" ht="15.0" customHeight="1">
      <c r="A23" s="8" t="s">
        <v>137</v>
      </c>
      <c r="S23" s="65"/>
    </row>
    <row r="24" ht="15.0" customHeight="1">
      <c r="A24" s="13">
        <v>0.0</v>
      </c>
      <c r="B24" s="12">
        <v>0.4791666666666667</v>
      </c>
      <c r="C24" s="13"/>
      <c r="D24" s="13" t="s">
        <v>138</v>
      </c>
      <c r="E24" s="13" t="s">
        <v>22</v>
      </c>
      <c r="F24" s="14" t="s">
        <v>23</v>
      </c>
      <c r="G24" s="15" t="s">
        <v>139</v>
      </c>
      <c r="H24" s="16" t="s">
        <v>140</v>
      </c>
      <c r="I24" s="13" t="s">
        <v>141</v>
      </c>
      <c r="J24" s="13"/>
      <c r="K24" s="27" t="s">
        <v>142</v>
      </c>
      <c r="L24" s="27" t="s">
        <v>143</v>
      </c>
      <c r="M24" s="32"/>
      <c r="N24" s="16"/>
      <c r="O24" s="16"/>
      <c r="P24" s="16"/>
      <c r="Q24" s="16"/>
      <c r="R24" s="21"/>
      <c r="S24" s="21"/>
    </row>
    <row r="25" ht="15.0" customHeight="1">
      <c r="A25" s="13">
        <v>1.0</v>
      </c>
      <c r="B25" s="12">
        <v>0.48125</v>
      </c>
      <c r="C25" s="13"/>
      <c r="D25" s="13" t="s">
        <v>144</v>
      </c>
      <c r="E25" s="13" t="s">
        <v>22</v>
      </c>
      <c r="F25" s="14" t="s">
        <v>23</v>
      </c>
      <c r="G25" s="15" t="s">
        <v>145</v>
      </c>
      <c r="H25" s="16" t="s">
        <v>146</v>
      </c>
      <c r="I25" s="13" t="s">
        <v>147</v>
      </c>
      <c r="J25" s="13" t="s">
        <v>23</v>
      </c>
      <c r="K25" s="27" t="s">
        <v>148</v>
      </c>
      <c r="L25" s="27" t="s">
        <v>149</v>
      </c>
      <c r="M25" s="32"/>
      <c r="N25" s="16" t="s">
        <v>150</v>
      </c>
      <c r="O25" s="16" t="s">
        <v>151</v>
      </c>
      <c r="P25" s="25" t="s">
        <v>152</v>
      </c>
      <c r="Q25" s="16"/>
      <c r="R25" s="21"/>
      <c r="S25" s="21"/>
    </row>
    <row r="26" ht="15.0" customHeight="1">
      <c r="A26" s="13">
        <v>2.0</v>
      </c>
      <c r="B26" s="12">
        <v>0.4861111111111111</v>
      </c>
      <c r="C26" s="13"/>
      <c r="D26" s="13" t="s">
        <v>153</v>
      </c>
      <c r="E26" s="13" t="s">
        <v>22</v>
      </c>
      <c r="F26" s="14" t="s">
        <v>23</v>
      </c>
      <c r="G26" s="15" t="s">
        <v>154</v>
      </c>
      <c r="H26" s="16" t="s">
        <v>155</v>
      </c>
      <c r="I26" s="13" t="s">
        <v>156</v>
      </c>
      <c r="J26" s="13" t="s">
        <v>23</v>
      </c>
      <c r="K26" s="19" t="s">
        <v>157</v>
      </c>
      <c r="L26" s="27" t="s">
        <v>158</v>
      </c>
      <c r="M26" s="32" t="s">
        <v>23</v>
      </c>
      <c r="N26" s="66" t="s">
        <v>159</v>
      </c>
      <c r="O26" s="41" t="s">
        <v>160</v>
      </c>
      <c r="P26" s="67" t="s">
        <v>161</v>
      </c>
      <c r="Q26" s="16"/>
      <c r="R26" s="21"/>
      <c r="S26" s="21"/>
    </row>
    <row r="27" ht="15.0" customHeight="1">
      <c r="A27" s="13">
        <v>3.0</v>
      </c>
      <c r="B27" s="12">
        <v>0.4909722222222222</v>
      </c>
      <c r="C27" s="13"/>
      <c r="D27" s="13" t="s">
        <v>162</v>
      </c>
      <c r="E27" s="13" t="s">
        <v>54</v>
      </c>
      <c r="F27" s="14" t="s">
        <v>23</v>
      </c>
      <c r="G27" s="15" t="s">
        <v>163</v>
      </c>
      <c r="H27" s="16" t="s">
        <v>164</v>
      </c>
      <c r="I27" s="13" t="s">
        <v>165</v>
      </c>
      <c r="J27" s="13" t="s">
        <v>23</v>
      </c>
      <c r="K27" s="19" t="s">
        <v>166</v>
      </c>
      <c r="L27" s="27" t="s">
        <v>167</v>
      </c>
      <c r="M27" s="32" t="s">
        <v>23</v>
      </c>
      <c r="N27" s="16" t="s">
        <v>168</v>
      </c>
      <c r="O27" s="16"/>
      <c r="P27" s="16" t="s">
        <v>169</v>
      </c>
      <c r="Q27" s="19" t="s">
        <v>167</v>
      </c>
      <c r="R27" s="21"/>
      <c r="S27" s="16" t="s">
        <v>170</v>
      </c>
    </row>
    <row r="28" ht="15.0" customHeight="1">
      <c r="A28" s="13">
        <v>4.0</v>
      </c>
      <c r="B28" s="12">
        <v>0.49583333333333335</v>
      </c>
      <c r="C28" s="13"/>
      <c r="D28" s="13" t="s">
        <v>171</v>
      </c>
      <c r="E28" s="13" t="s">
        <v>22</v>
      </c>
      <c r="F28" s="14"/>
      <c r="G28" s="15" t="s">
        <v>172</v>
      </c>
      <c r="H28" s="16" t="s">
        <v>173</v>
      </c>
      <c r="I28" s="50" t="s">
        <v>174</v>
      </c>
      <c r="J28" s="13" t="s">
        <v>23</v>
      </c>
      <c r="K28" s="19" t="s">
        <v>175</v>
      </c>
      <c r="L28" s="27" t="s">
        <v>176</v>
      </c>
      <c r="M28" s="32" t="s">
        <v>23</v>
      </c>
      <c r="N28" s="16" t="s">
        <v>177</v>
      </c>
      <c r="O28" s="25" t="s">
        <v>178</v>
      </c>
      <c r="P28" s="16" t="s">
        <v>179</v>
      </c>
      <c r="Q28" s="16"/>
      <c r="R28" s="21"/>
      <c r="S28" s="21"/>
    </row>
    <row r="29" ht="15.0" customHeight="1">
      <c r="A29" s="13">
        <v>5.0</v>
      </c>
      <c r="B29" s="12">
        <v>0.5006944444444444</v>
      </c>
      <c r="C29" s="13"/>
      <c r="D29" s="13" t="s">
        <v>81</v>
      </c>
      <c r="E29" s="13" t="s">
        <v>22</v>
      </c>
      <c r="F29" s="14" t="s">
        <v>23</v>
      </c>
      <c r="G29" s="15" t="s">
        <v>180</v>
      </c>
      <c r="H29" s="16" t="s">
        <v>181</v>
      </c>
      <c r="I29" s="13" t="s">
        <v>182</v>
      </c>
      <c r="J29" s="13" t="s">
        <v>23</v>
      </c>
      <c r="K29" s="19" t="s">
        <v>85</v>
      </c>
      <c r="L29" s="19" t="s">
        <v>183</v>
      </c>
      <c r="M29" s="32" t="s">
        <v>23</v>
      </c>
      <c r="N29" s="40" t="s">
        <v>87</v>
      </c>
      <c r="O29" s="40" t="s">
        <v>184</v>
      </c>
      <c r="P29" s="40" t="s">
        <v>89</v>
      </c>
      <c r="Q29" s="16"/>
      <c r="R29" s="21"/>
      <c r="S29" s="21"/>
    </row>
    <row r="30" ht="15.0" customHeight="1">
      <c r="A30" s="13">
        <v>6.0</v>
      </c>
      <c r="B30" s="12">
        <v>0.5055555555555555</v>
      </c>
      <c r="C30" s="13"/>
      <c r="D30" s="13" t="s">
        <v>185</v>
      </c>
      <c r="E30" s="13" t="s">
        <v>54</v>
      </c>
      <c r="F30" s="14" t="s">
        <v>23</v>
      </c>
      <c r="G30" s="15" t="s">
        <v>186</v>
      </c>
      <c r="H30" s="16" t="s">
        <v>187</v>
      </c>
      <c r="I30" s="13" t="s">
        <v>147</v>
      </c>
      <c r="J30" s="13" t="s">
        <v>23</v>
      </c>
      <c r="K30" s="27" t="s">
        <v>188</v>
      </c>
      <c r="L30" s="27" t="s">
        <v>189</v>
      </c>
      <c r="M30" s="32"/>
      <c r="N30" s="16" t="s">
        <v>190</v>
      </c>
      <c r="O30" s="16" t="s">
        <v>191</v>
      </c>
      <c r="P30" s="25" t="s">
        <v>152</v>
      </c>
      <c r="Q30" s="27" t="s">
        <v>189</v>
      </c>
      <c r="R30" s="21"/>
      <c r="S30" s="21"/>
    </row>
    <row r="31">
      <c r="A31" s="68">
        <v>7.0</v>
      </c>
      <c r="B31" s="69">
        <v>0.5104166666666666</v>
      </c>
      <c r="C31" s="68"/>
      <c r="D31" s="68" t="s">
        <v>192</v>
      </c>
      <c r="E31" s="68" t="s">
        <v>22</v>
      </c>
      <c r="F31" s="70" t="s">
        <v>23</v>
      </c>
      <c r="G31" s="71" t="s">
        <v>193</v>
      </c>
      <c r="H31" s="45" t="s">
        <v>194</v>
      </c>
      <c r="I31" s="72" t="s">
        <v>195</v>
      </c>
      <c r="J31" s="68" t="s">
        <v>23</v>
      </c>
      <c r="K31" s="73" t="s">
        <v>196</v>
      </c>
      <c r="L31" s="74" t="s">
        <v>197</v>
      </c>
      <c r="M31" s="32" t="s">
        <v>23</v>
      </c>
      <c r="N31" s="45" t="s">
        <v>198</v>
      </c>
      <c r="O31" s="45" t="s">
        <v>199</v>
      </c>
      <c r="P31" s="45" t="s">
        <v>200</v>
      </c>
      <c r="Q31" s="45"/>
      <c r="R31" s="75"/>
      <c r="S31" s="75"/>
    </row>
    <row r="32" ht="15.0" customHeight="1">
      <c r="A32" s="13"/>
      <c r="B32" s="12">
        <v>0.5152777777777777</v>
      </c>
      <c r="C32" s="13"/>
      <c r="D32" s="13" t="s">
        <v>201</v>
      </c>
      <c r="E32" s="68" t="s">
        <v>22</v>
      </c>
      <c r="F32" s="70" t="s">
        <v>23</v>
      </c>
      <c r="G32" s="15" t="s">
        <v>202</v>
      </c>
      <c r="H32" s="16"/>
      <c r="I32" s="13"/>
      <c r="J32" s="13"/>
      <c r="K32" s="16"/>
      <c r="L32" s="16"/>
      <c r="M32" s="32"/>
      <c r="N32" s="16"/>
      <c r="O32" s="16"/>
      <c r="P32" s="25"/>
      <c r="Q32" s="16"/>
      <c r="R32" s="21"/>
      <c r="S32" s="21"/>
    </row>
    <row r="33" ht="15.0" customHeight="1">
      <c r="A33" s="8" t="s">
        <v>203</v>
      </c>
      <c r="S33" s="65"/>
    </row>
    <row r="34" ht="40.5" customHeight="1">
      <c r="A34" s="16"/>
      <c r="B34" s="13" t="s">
        <v>204</v>
      </c>
      <c r="C34" s="13"/>
      <c r="D34" s="13" t="s">
        <v>205</v>
      </c>
      <c r="E34" s="13" t="s">
        <v>22</v>
      </c>
      <c r="F34" s="14" t="s">
        <v>206</v>
      </c>
      <c r="G34" s="26" t="s">
        <v>207</v>
      </c>
      <c r="H34" s="16" t="s">
        <v>208</v>
      </c>
      <c r="I34" s="13" t="s">
        <v>206</v>
      </c>
      <c r="J34" s="13" t="s">
        <v>206</v>
      </c>
      <c r="K34" s="16"/>
      <c r="L34" s="27" t="s">
        <v>209</v>
      </c>
      <c r="M34" s="20" t="s">
        <v>23</v>
      </c>
      <c r="N34" s="16"/>
      <c r="O34" s="16"/>
      <c r="P34" s="16"/>
      <c r="Q34" s="16"/>
      <c r="R34" s="21"/>
      <c r="S34" s="21"/>
    </row>
    <row r="35" ht="15.0" customHeight="1">
      <c r="A35" s="16"/>
      <c r="B35" s="76" t="s">
        <v>210</v>
      </c>
      <c r="C35" s="77"/>
      <c r="D35" s="76" t="s">
        <v>211</v>
      </c>
      <c r="E35" s="13" t="s">
        <v>22</v>
      </c>
      <c r="F35" s="14"/>
      <c r="G35" s="26" t="s">
        <v>212</v>
      </c>
      <c r="H35" s="25" t="s">
        <v>213</v>
      </c>
      <c r="I35" s="13" t="s">
        <v>206</v>
      </c>
      <c r="J35" s="13" t="s">
        <v>23</v>
      </c>
      <c r="K35" s="16"/>
      <c r="L35" s="19" t="s">
        <v>214</v>
      </c>
      <c r="M35" s="20" t="s">
        <v>23</v>
      </c>
      <c r="N35" s="16"/>
      <c r="O35" s="21"/>
      <c r="P35" s="21"/>
      <c r="Q35" s="16"/>
      <c r="R35" s="21"/>
      <c r="S35" s="21"/>
    </row>
    <row r="36" ht="85.5" customHeight="1">
      <c r="A36" s="16"/>
      <c r="B36" s="13" t="s">
        <v>215</v>
      </c>
      <c r="C36" s="13"/>
      <c r="D36" s="13" t="s">
        <v>216</v>
      </c>
      <c r="E36" s="13" t="s">
        <v>22</v>
      </c>
      <c r="F36" s="14"/>
      <c r="G36" s="26" t="s">
        <v>212</v>
      </c>
      <c r="H36" s="16" t="s">
        <v>217</v>
      </c>
      <c r="I36" s="13" t="s">
        <v>206</v>
      </c>
      <c r="J36" s="13" t="s">
        <v>23</v>
      </c>
      <c r="K36" s="16"/>
      <c r="L36" s="27" t="s">
        <v>218</v>
      </c>
      <c r="M36" s="20" t="s">
        <v>23</v>
      </c>
      <c r="N36" s="16"/>
      <c r="O36" s="16"/>
      <c r="P36" s="16"/>
      <c r="Q36" s="16"/>
      <c r="R36" s="21"/>
      <c r="S36" s="21"/>
    </row>
    <row r="37" ht="15.0" customHeight="1">
      <c r="A37" s="8" t="s">
        <v>219</v>
      </c>
      <c r="S37" s="65"/>
    </row>
    <row r="38" ht="15.0" customHeight="1">
      <c r="A38" s="3" t="s">
        <v>0</v>
      </c>
      <c r="B38" s="3" t="s">
        <v>220</v>
      </c>
      <c r="C38" s="4" t="s">
        <v>2</v>
      </c>
      <c r="D38" s="4" t="s">
        <v>3</v>
      </c>
      <c r="E38" s="4" t="s">
        <v>221</v>
      </c>
      <c r="F38" s="5" t="s">
        <v>222</v>
      </c>
      <c r="G38" s="78"/>
      <c r="H38" s="4" t="s">
        <v>7</v>
      </c>
      <c r="I38" s="4" t="s">
        <v>223</v>
      </c>
      <c r="J38" s="79" t="s">
        <v>224</v>
      </c>
      <c r="K38" s="3"/>
      <c r="L38" s="3" t="s">
        <v>225</v>
      </c>
      <c r="M38" s="20" t="s">
        <v>226</v>
      </c>
      <c r="N38" s="4" t="s">
        <v>227</v>
      </c>
      <c r="O38" s="4" t="s">
        <v>14</v>
      </c>
      <c r="P38" s="4" t="s">
        <v>15</v>
      </c>
      <c r="Q38" s="80"/>
      <c r="R38" s="80"/>
      <c r="S38" s="22" t="str">
        <f>"g0v tw hackathXXn — 中場短講 — "&amp;G38&amp;" ／ "&amp;D38&amp;" — XXX黑客松"</f>
        <v>g0v tw hackathXXn — 中場短講 —  ／ 發表者
Presenter — XXX黑客松</v>
      </c>
    </row>
    <row r="39" ht="15.0" customHeight="1">
      <c r="A39" s="81">
        <v>1.0</v>
      </c>
      <c r="B39" s="12">
        <v>0.6041666666666666</v>
      </c>
      <c r="C39" s="13"/>
      <c r="D39" s="13" t="s">
        <v>21</v>
      </c>
      <c r="E39" s="13" t="s">
        <v>22</v>
      </c>
      <c r="F39" s="14" t="s">
        <v>23</v>
      </c>
      <c r="G39" s="15" t="s">
        <v>228</v>
      </c>
      <c r="H39" s="25" t="s">
        <v>229</v>
      </c>
      <c r="I39" s="13" t="s">
        <v>67</v>
      </c>
      <c r="J39" s="13" t="s">
        <v>230</v>
      </c>
      <c r="K39" s="31" t="s">
        <v>231</v>
      </c>
      <c r="L39" s="49" t="s">
        <v>232</v>
      </c>
      <c r="M39" s="20" t="s">
        <v>23</v>
      </c>
      <c r="N39" s="25" t="s">
        <v>233</v>
      </c>
      <c r="O39" s="16"/>
      <c r="P39" s="16"/>
      <c r="Q39" s="15"/>
      <c r="R39" s="82" t="s">
        <v>231</v>
      </c>
      <c r="S39" s="83"/>
    </row>
    <row r="40" ht="15.0" customHeight="1">
      <c r="A40" s="81">
        <v>2.0</v>
      </c>
      <c r="B40" s="12">
        <v>0.6111111111111112</v>
      </c>
      <c r="C40" s="13"/>
      <c r="D40" s="13" t="s">
        <v>234</v>
      </c>
      <c r="E40" s="13" t="s">
        <v>22</v>
      </c>
      <c r="F40" s="14"/>
      <c r="G40" s="15"/>
      <c r="H40" s="15" t="s">
        <v>235</v>
      </c>
      <c r="I40" s="13" t="s">
        <v>236</v>
      </c>
      <c r="J40" s="13" t="s">
        <v>23</v>
      </c>
      <c r="K40" s="15"/>
      <c r="L40" s="31" t="s">
        <v>237</v>
      </c>
      <c r="M40" s="20" t="s">
        <v>23</v>
      </c>
      <c r="N40" s="15"/>
      <c r="O40" s="16"/>
      <c r="P40" s="16"/>
      <c r="Q40" s="15"/>
      <c r="R40" s="83"/>
      <c r="S40" s="83"/>
    </row>
    <row r="41" ht="15.0" customHeight="1">
      <c r="A41" s="13">
        <v>2.5</v>
      </c>
      <c r="B41" s="12">
        <v>0.6145833333333334</v>
      </c>
      <c r="C41" s="13"/>
      <c r="D41" s="13" t="s">
        <v>201</v>
      </c>
      <c r="E41" s="13" t="s">
        <v>22</v>
      </c>
      <c r="F41" s="14"/>
      <c r="G41" s="15"/>
      <c r="H41" s="15" t="s">
        <v>238</v>
      </c>
      <c r="I41" s="13"/>
      <c r="J41" s="13"/>
      <c r="K41" s="16"/>
      <c r="L41" s="19" t="s">
        <v>239</v>
      </c>
      <c r="M41" s="20"/>
      <c r="N41" s="15"/>
      <c r="O41" s="16"/>
      <c r="P41" s="16"/>
      <c r="Q41" s="15"/>
      <c r="R41" s="83"/>
      <c r="S41" s="83"/>
    </row>
    <row r="42" ht="15.0" customHeight="1">
      <c r="A42" s="81">
        <v>3.0</v>
      </c>
      <c r="B42" s="12">
        <v>0.6180555555555556</v>
      </c>
      <c r="C42" s="13"/>
      <c r="D42" s="84" t="s">
        <v>240</v>
      </c>
      <c r="E42" s="85" t="s">
        <v>22</v>
      </c>
      <c r="F42" s="86"/>
      <c r="G42" s="87" t="s">
        <v>241</v>
      </c>
      <c r="H42" s="88" t="s">
        <v>242</v>
      </c>
      <c r="I42" s="13" t="s">
        <v>243</v>
      </c>
      <c r="J42" s="13" t="s">
        <v>23</v>
      </c>
      <c r="K42" s="19" t="s">
        <v>244</v>
      </c>
      <c r="L42" s="19" t="s">
        <v>245</v>
      </c>
      <c r="M42" s="20" t="s">
        <v>23</v>
      </c>
      <c r="N42" s="25"/>
      <c r="O42" s="25"/>
      <c r="P42" s="25"/>
      <c r="Q42" s="25"/>
    </row>
    <row r="43" ht="15.0" customHeight="1">
      <c r="A43" s="89"/>
      <c r="B43" s="90" t="s">
        <v>246</v>
      </c>
      <c r="C43" s="91"/>
      <c r="D43" s="92" t="s">
        <v>133</v>
      </c>
      <c r="E43" s="93"/>
      <c r="F43" s="91"/>
      <c r="G43" s="94"/>
      <c r="H43" s="95"/>
      <c r="I43" s="91"/>
      <c r="J43" s="91"/>
      <c r="K43" s="89"/>
      <c r="L43" s="89"/>
      <c r="M43" s="89"/>
      <c r="N43" s="89"/>
      <c r="O43" s="89"/>
      <c r="P43" s="89"/>
      <c r="Q43" s="95"/>
      <c r="R43" s="89"/>
      <c r="S43" s="89"/>
    </row>
    <row r="44" ht="15.0" customHeight="1">
      <c r="A44" s="8" t="s">
        <v>247</v>
      </c>
      <c r="S44" s="65"/>
    </row>
    <row r="45" ht="15.0" customHeight="1">
      <c r="A45" s="81">
        <v>1.0</v>
      </c>
      <c r="B45" s="96">
        <v>0.6875</v>
      </c>
      <c r="C45" s="13"/>
      <c r="D45" s="13" t="s">
        <v>240</v>
      </c>
      <c r="E45" s="13" t="s">
        <v>22</v>
      </c>
      <c r="F45" s="14"/>
      <c r="G45" s="15" t="s">
        <v>248</v>
      </c>
      <c r="H45" s="16" t="s">
        <v>249</v>
      </c>
      <c r="I45" s="13" t="s">
        <v>250</v>
      </c>
      <c r="J45" s="13"/>
      <c r="K45" s="19" t="s">
        <v>251</v>
      </c>
      <c r="L45" s="97"/>
      <c r="M45" s="32"/>
      <c r="N45" s="16"/>
      <c r="O45" s="16"/>
      <c r="P45" s="16"/>
      <c r="Q45" s="16"/>
      <c r="R45" s="16"/>
      <c r="S45" s="98" t="str">
        <f>"g0v tw hackathXXn — 成果報告 — "&amp;G45&amp;" ／ "&amp;D45&amp;" — XXX黑客松"</f>
        <v>g0v tw hackathXXn — 成果報告 — GNUnet ／ Christian Grothoff  — XXX黑客松</v>
      </c>
    </row>
    <row r="46" ht="15.0" customHeight="1">
      <c r="A46" s="81">
        <v>2.0</v>
      </c>
      <c r="B46" s="12">
        <v>0.6909722222222222</v>
      </c>
      <c r="C46" s="13"/>
      <c r="D46" s="13" t="s">
        <v>252</v>
      </c>
      <c r="E46" s="13" t="s">
        <v>22</v>
      </c>
      <c r="F46" s="14"/>
      <c r="G46" s="15" t="s">
        <v>42</v>
      </c>
      <c r="H46" s="56" t="s">
        <v>253</v>
      </c>
      <c r="I46" s="13" t="s">
        <v>254</v>
      </c>
      <c r="J46" s="13"/>
      <c r="K46" s="27" t="s">
        <v>44</v>
      </c>
      <c r="L46" s="99" t="s">
        <v>255</v>
      </c>
      <c r="M46" s="32" t="s">
        <v>23</v>
      </c>
      <c r="N46" s="16"/>
      <c r="O46" s="16"/>
      <c r="P46" s="16" t="s">
        <v>256</v>
      </c>
      <c r="Q46" s="16"/>
      <c r="R46" s="21"/>
      <c r="S46" s="21"/>
    </row>
    <row r="47" ht="15.0" customHeight="1">
      <c r="A47" s="81">
        <v>3.0</v>
      </c>
      <c r="B47" s="12">
        <v>0.6944444444444444</v>
      </c>
      <c r="C47" s="13"/>
      <c r="D47" s="13" t="s">
        <v>234</v>
      </c>
      <c r="E47" s="13" t="s">
        <v>22</v>
      </c>
      <c r="F47" s="14"/>
      <c r="G47" s="15" t="s">
        <v>73</v>
      </c>
      <c r="H47" s="16" t="s">
        <v>257</v>
      </c>
      <c r="I47" s="13"/>
      <c r="J47" s="13"/>
      <c r="K47" s="31" t="s">
        <v>76</v>
      </c>
      <c r="L47" s="27" t="s">
        <v>77</v>
      </c>
      <c r="M47" s="32"/>
      <c r="N47" s="16"/>
      <c r="O47" s="16"/>
      <c r="Q47" s="16"/>
      <c r="R47" s="21"/>
      <c r="S47" s="21"/>
    </row>
    <row r="48" ht="15.0" customHeight="1">
      <c r="A48" s="81">
        <v>4.0</v>
      </c>
      <c r="B48" s="100">
        <v>0.6979166666666666</v>
      </c>
      <c r="C48" s="13"/>
      <c r="D48" s="13" t="s">
        <v>49</v>
      </c>
      <c r="E48" s="13" t="s">
        <v>22</v>
      </c>
      <c r="F48" s="14"/>
      <c r="G48" s="15" t="s">
        <v>258</v>
      </c>
      <c r="H48" s="16" t="s">
        <v>259</v>
      </c>
      <c r="I48" s="23" t="s">
        <v>141</v>
      </c>
      <c r="J48" s="101"/>
      <c r="K48" s="25"/>
      <c r="L48" s="28" t="s">
        <v>52</v>
      </c>
      <c r="M48" s="32"/>
      <c r="N48" s="16"/>
      <c r="O48" s="16"/>
      <c r="P48" s="16"/>
      <c r="Q48" s="16"/>
      <c r="R48" s="16"/>
      <c r="S48" s="16"/>
    </row>
    <row r="49" ht="15.0" customHeight="1">
      <c r="A49" s="81">
        <v>5.0</v>
      </c>
      <c r="B49" s="12">
        <v>0.7013888888888888</v>
      </c>
      <c r="C49" s="13"/>
      <c r="D49" s="13" t="s">
        <v>260</v>
      </c>
      <c r="E49" s="13" t="s">
        <v>22</v>
      </c>
      <c r="F49" s="14"/>
      <c r="G49" s="102" t="s">
        <v>261</v>
      </c>
      <c r="H49" s="16" t="s">
        <v>262</v>
      </c>
      <c r="I49" s="13"/>
      <c r="J49" s="13"/>
      <c r="K49" s="103" t="s">
        <v>263</v>
      </c>
      <c r="L49" s="16"/>
      <c r="M49" s="32" t="s">
        <v>23</v>
      </c>
      <c r="N49" s="16"/>
      <c r="O49" s="21"/>
      <c r="P49" s="16" t="s">
        <v>264</v>
      </c>
      <c r="Q49" s="16"/>
      <c r="R49" s="16"/>
      <c r="S49" s="16"/>
    </row>
    <row r="50" ht="15.0" customHeight="1">
      <c r="A50" s="81">
        <v>6.0</v>
      </c>
      <c r="B50" s="12">
        <v>0.7048611111111112</v>
      </c>
      <c r="C50" s="13"/>
      <c r="D50" s="13" t="s">
        <v>122</v>
      </c>
      <c r="E50" s="13" t="s">
        <v>22</v>
      </c>
      <c r="F50" s="14" t="s">
        <v>23</v>
      </c>
      <c r="G50" s="15" t="s">
        <v>265</v>
      </c>
      <c r="H50" s="19" t="s">
        <v>266</v>
      </c>
      <c r="I50" s="13" t="s">
        <v>141</v>
      </c>
      <c r="J50" s="13" t="s">
        <v>32</v>
      </c>
      <c r="K50" s="50" t="s">
        <v>267</v>
      </c>
      <c r="L50" s="50" t="s">
        <v>268</v>
      </c>
      <c r="M50" s="32" t="s">
        <v>32</v>
      </c>
      <c r="N50" s="25" t="s">
        <v>269</v>
      </c>
      <c r="O50" s="16" t="s">
        <v>270</v>
      </c>
      <c r="P50" s="16" t="s">
        <v>271</v>
      </c>
      <c r="Q50" s="16"/>
      <c r="R50" s="21"/>
      <c r="S50" s="21"/>
    </row>
    <row r="51" ht="15.0" customHeight="1">
      <c r="A51" s="81">
        <v>7.0</v>
      </c>
      <c r="B51" s="12">
        <v>0.7083333333333334</v>
      </c>
      <c r="C51" s="13"/>
      <c r="D51" s="13" t="s">
        <v>272</v>
      </c>
      <c r="E51" s="13" t="s">
        <v>22</v>
      </c>
      <c r="F51" s="14"/>
      <c r="G51" s="15" t="s">
        <v>103</v>
      </c>
      <c r="H51" s="16" t="s">
        <v>104</v>
      </c>
      <c r="I51" s="13"/>
      <c r="J51" s="13" t="s">
        <v>23</v>
      </c>
      <c r="L51" s="31" t="s">
        <v>106</v>
      </c>
      <c r="M51" s="32"/>
      <c r="O51" s="45"/>
      <c r="P51" s="45"/>
      <c r="Q51" s="16"/>
      <c r="R51" s="21"/>
      <c r="S51" s="21"/>
    </row>
    <row r="52" ht="15.0" customHeight="1">
      <c r="A52" s="81">
        <v>8.0</v>
      </c>
      <c r="B52" s="12">
        <v>0.7118055555555556</v>
      </c>
      <c r="C52" s="13"/>
      <c r="D52" s="13" t="s">
        <v>107</v>
      </c>
      <c r="E52" s="13" t="s">
        <v>22</v>
      </c>
      <c r="F52" s="14" t="s">
        <v>23</v>
      </c>
      <c r="G52" s="104" t="s">
        <v>273</v>
      </c>
      <c r="H52" s="105" t="s">
        <v>274</v>
      </c>
      <c r="I52" s="17" t="s">
        <v>26</v>
      </c>
      <c r="J52" s="17" t="s">
        <v>23</v>
      </c>
      <c r="K52" s="106"/>
      <c r="L52" s="107" t="s">
        <v>275</v>
      </c>
      <c r="M52" s="20" t="s">
        <v>23</v>
      </c>
      <c r="N52" s="108"/>
      <c r="O52" s="13"/>
      <c r="P52" s="13" t="s">
        <v>114</v>
      </c>
      <c r="Q52" s="16"/>
      <c r="R52" s="21"/>
      <c r="S52" s="21"/>
    </row>
    <row r="53" ht="15.0" customHeight="1">
      <c r="A53" s="81">
        <v>9.0</v>
      </c>
      <c r="B53" s="12">
        <v>0.7152777777777778</v>
      </c>
      <c r="C53" s="13"/>
      <c r="D53" s="13" t="s">
        <v>276</v>
      </c>
      <c r="E53" s="13" t="s">
        <v>22</v>
      </c>
      <c r="F53" s="14"/>
      <c r="G53" s="15" t="s">
        <v>277</v>
      </c>
      <c r="H53" s="16" t="s">
        <v>278</v>
      </c>
      <c r="I53" s="13" t="s">
        <v>141</v>
      </c>
      <c r="J53" s="13" t="s">
        <v>23</v>
      </c>
      <c r="K53" s="27" t="s">
        <v>142</v>
      </c>
      <c r="L53" s="27" t="s">
        <v>143</v>
      </c>
      <c r="M53" s="109"/>
      <c r="N53" s="33"/>
      <c r="O53" s="16"/>
      <c r="P53" s="16"/>
      <c r="Q53" s="16"/>
      <c r="R53" s="21"/>
      <c r="S53" s="21"/>
    </row>
    <row r="54" ht="15.0" customHeight="1">
      <c r="A54" s="81">
        <v>10.0</v>
      </c>
      <c r="B54" s="12">
        <v>0.71875</v>
      </c>
      <c r="C54" s="13"/>
      <c r="D54" s="13" t="s">
        <v>279</v>
      </c>
      <c r="E54" s="13" t="s">
        <v>22</v>
      </c>
      <c r="F54" s="14" t="s">
        <v>23</v>
      </c>
      <c r="G54" s="15" t="s">
        <v>280</v>
      </c>
      <c r="H54" s="16" t="s">
        <v>281</v>
      </c>
      <c r="I54" s="13"/>
      <c r="J54" s="13" t="s">
        <v>23</v>
      </c>
      <c r="K54" s="25"/>
      <c r="L54" s="110" t="s">
        <v>282</v>
      </c>
      <c r="M54" s="32" t="s">
        <v>23</v>
      </c>
      <c r="N54" s="16" t="s">
        <v>283</v>
      </c>
      <c r="O54" s="21"/>
      <c r="P54" s="21"/>
      <c r="Q54" s="21"/>
      <c r="R54" s="21"/>
      <c r="S54" s="21"/>
    </row>
    <row r="55" ht="15.0" customHeight="1">
      <c r="A55" s="81">
        <v>11.0</v>
      </c>
      <c r="B55" s="12">
        <v>0.7222222222222222</v>
      </c>
      <c r="C55" s="13"/>
      <c r="D55" s="111" t="s">
        <v>90</v>
      </c>
      <c r="E55" s="13" t="s">
        <v>22</v>
      </c>
      <c r="F55" s="14"/>
      <c r="G55" s="15" t="s">
        <v>91</v>
      </c>
      <c r="H55" s="16" t="s">
        <v>92</v>
      </c>
      <c r="I55" s="112"/>
      <c r="J55" s="13"/>
      <c r="K55" s="19" t="s">
        <v>284</v>
      </c>
      <c r="L55" s="16"/>
      <c r="M55" s="32"/>
      <c r="N55" s="16"/>
      <c r="O55" s="21"/>
      <c r="P55" s="21"/>
      <c r="Q55" s="16"/>
      <c r="R55" s="16"/>
      <c r="S55" s="16"/>
    </row>
    <row r="56" ht="15.0" customHeight="1">
      <c r="A56" s="16">
        <v>12.0</v>
      </c>
      <c r="B56" s="12">
        <v>0.7256944444444444</v>
      </c>
      <c r="C56" s="77"/>
      <c r="D56" s="16" t="s">
        <v>98</v>
      </c>
      <c r="E56" s="13" t="s">
        <v>22</v>
      </c>
      <c r="F56" s="14" t="s">
        <v>23</v>
      </c>
      <c r="G56" s="83"/>
      <c r="H56" s="16" t="s">
        <v>285</v>
      </c>
      <c r="I56" s="77"/>
      <c r="J56" s="77"/>
      <c r="K56" s="27" t="s">
        <v>286</v>
      </c>
      <c r="L56" s="19" t="s">
        <v>287</v>
      </c>
      <c r="M56" s="32" t="s">
        <v>23</v>
      </c>
      <c r="N56" s="21"/>
      <c r="O56" s="21"/>
      <c r="P56" s="21"/>
      <c r="Q56" s="21"/>
      <c r="R56" s="21"/>
      <c r="S56" s="21"/>
    </row>
    <row r="57" ht="15.0" customHeight="1">
      <c r="A57" s="13">
        <v>13.0</v>
      </c>
      <c r="B57" s="12">
        <v>0.7291666666666666</v>
      </c>
      <c r="C57" s="13"/>
      <c r="D57" s="13" t="s">
        <v>288</v>
      </c>
      <c r="E57" s="13" t="s">
        <v>22</v>
      </c>
      <c r="F57" s="14" t="s">
        <v>23</v>
      </c>
      <c r="G57" s="15"/>
      <c r="H57" s="16" t="s">
        <v>289</v>
      </c>
      <c r="I57" s="23"/>
      <c r="J57" s="13" t="s">
        <v>23</v>
      </c>
      <c r="K57" s="113"/>
      <c r="L57" s="114"/>
      <c r="M57" s="32" t="s">
        <v>23</v>
      </c>
      <c r="N57" s="16"/>
      <c r="O57" s="16"/>
      <c r="P57" s="16"/>
      <c r="Q57" s="16"/>
      <c r="R57" s="16"/>
      <c r="S57" s="16"/>
    </row>
  </sheetData>
  <mergeCells count="8">
    <mergeCell ref="A1:O1"/>
    <mergeCell ref="A3:R3"/>
    <mergeCell ref="A4:O4"/>
    <mergeCell ref="A21:E21"/>
    <mergeCell ref="A23:R23"/>
    <mergeCell ref="A33:R33"/>
    <mergeCell ref="A37:R37"/>
    <mergeCell ref="A44:R44"/>
  </mergeCells>
  <dataValidations>
    <dataValidation type="list" allowBlank="1" sqref="E5:E19 E22 E24:E32 E34:E36 E39:E42 E45:E57">
      <formula1>"實體,預錄影片"</formula1>
    </dataValidation>
  </dataValidations>
  <hyperlinks>
    <hyperlink r:id="rId1" ref="J2"/>
    <hyperlink r:id="rId2" ref="L5"/>
    <hyperlink r:id="rId3" ref="K6"/>
    <hyperlink r:id="rId4" location="slide=id.g263348d5d4d_0_151" ref="L6"/>
    <hyperlink r:id="rId5" ref="O6"/>
    <hyperlink r:id="rId6" ref="K7"/>
    <hyperlink r:id="rId7" ref="L7"/>
    <hyperlink r:id="rId8" location="slide=id.g29c2703d9af_0_8" ref="L8"/>
    <hyperlink r:id="rId9" ref="K9"/>
    <hyperlink r:id="rId10" ref="L9"/>
    <hyperlink r:id="rId11" ref="Q9"/>
    <hyperlink r:id="rId12" ref="R9"/>
    <hyperlink r:id="rId13" ref="K10"/>
    <hyperlink r:id="rId14" ref="L10"/>
    <hyperlink r:id="rId15" ref="K11"/>
    <hyperlink r:id="rId16" ref="L11"/>
    <hyperlink r:id="rId17" ref="K12"/>
    <hyperlink r:id="rId18" ref="L12"/>
    <hyperlink r:id="rId19" ref="K13"/>
    <hyperlink r:id="rId20" ref="L13"/>
    <hyperlink r:id="rId21" location="slide=id.p" ref="K14"/>
    <hyperlink r:id="rId22" location="slide=id.p" ref="L14"/>
    <hyperlink r:id="rId23" ref="K15"/>
    <hyperlink r:id="rId24" ref="L15"/>
    <hyperlink r:id="rId25" ref="H16"/>
    <hyperlink r:id="rId26" location="%E8%87%AA%E7%94%B1%E6%8F%90%E6%A1%88%E5%A0%B1%E5%90%8D%E5%8D%80" ref="K16"/>
    <hyperlink r:id="rId27" location="%E6%8F%90%E6%A1%88%E7%B4%80%E9%8C%84" ref="L16"/>
    <hyperlink r:id="rId28" ref="K17"/>
    <hyperlink r:id="rId29" ref="L17"/>
    <hyperlink r:id="rId30" ref="L18"/>
    <hyperlink r:id="rId31" ref="L19"/>
    <hyperlink r:id="rId32" ref="K24"/>
    <hyperlink r:id="rId33" location="slide=id.g29162202532_0_34" ref="L24"/>
    <hyperlink r:id="rId34" ref="K25"/>
    <hyperlink r:id="rId35" location="slide=id.p" ref="L25"/>
    <hyperlink r:id="rId36" ref="K26"/>
    <hyperlink r:id="rId37" location="slide=id.g2633659470e_5_106" ref="L26"/>
    <hyperlink r:id="rId38" ref="K27"/>
    <hyperlink r:id="rId39" ref="L27"/>
    <hyperlink r:id="rId40" ref="Q27"/>
    <hyperlink r:id="rId41" ref="I28"/>
    <hyperlink r:id="rId42" ref="K28"/>
    <hyperlink r:id="rId43" location="slide=id.g2633f6a4874_1_75" ref="L28"/>
    <hyperlink r:id="rId44" ref="K29"/>
    <hyperlink r:id="rId45" location="slide=id.g28caf866bb2_1_0" ref="L29"/>
    <hyperlink r:id="rId46" ref="K30"/>
    <hyperlink r:id="rId47" ref="L30"/>
    <hyperlink r:id="rId48" ref="Q30"/>
    <hyperlink r:id="rId49" ref="K31"/>
    <hyperlink r:id="rId50" ref="L31"/>
    <hyperlink r:id="rId51" location="slide=id.g28bedf46c23_496_6885" ref="L34"/>
    <hyperlink r:id="rId52" ref="L35"/>
    <hyperlink r:id="rId53" ref="L36"/>
    <hyperlink r:id="rId54" ref="J38"/>
    <hyperlink r:id="rId55" ref="K39"/>
    <hyperlink r:id="rId56" ref="L39"/>
    <hyperlink r:id="rId57" ref="R39"/>
    <hyperlink r:id="rId58" ref="L40"/>
    <hyperlink r:id="rId59" location="slide=id.g26359fbba1e_0_307" ref="L41"/>
    <hyperlink r:id="rId60" ref="K42"/>
    <hyperlink r:id="rId61" ref="L42"/>
    <hyperlink r:id="rId62" ref="K45"/>
    <hyperlink r:id="rId63" ref="K46"/>
    <hyperlink r:id="rId64" ref="L46"/>
    <hyperlink r:id="rId65" ref="K47"/>
    <hyperlink r:id="rId66" ref="L47"/>
    <hyperlink r:id="rId67" location="slide=id.g29c2703d9af_0_8" ref="L48"/>
    <hyperlink r:id="rId68" ref="K49"/>
    <hyperlink r:id="rId69" ref="H50"/>
    <hyperlink r:id="rId70" location="heading=h.cp5tebzequvn" ref="K50"/>
    <hyperlink r:id="rId71" ref="L50"/>
    <hyperlink r:id="rId72" ref="L51"/>
    <hyperlink r:id="rId73" ref="L52"/>
    <hyperlink r:id="rId74" ref="K53"/>
    <hyperlink r:id="rId75" location="slide=id.g29162202532_0_34" ref="L53"/>
    <hyperlink r:id="rId76" ref="L54"/>
    <hyperlink r:id="rId77" ref="K55"/>
    <hyperlink r:id="rId78" ref="K56"/>
    <hyperlink r:id="rId79" location="slide=id.p" ref="L56"/>
  </hyperlinks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4" width="5.5"/>
    <col customWidth="1" min="5" max="5" width="6.13"/>
    <col customWidth="1" min="6" max="10" width="13.88"/>
    <col customWidth="1" min="11" max="11" width="6.13"/>
    <col customWidth="1" min="12" max="15" width="5.5"/>
  </cols>
  <sheetData>
    <row r="1" ht="39.0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ht="49.5" customHeight="1">
      <c r="A2" s="77"/>
      <c r="B2" s="77"/>
      <c r="C2" s="77"/>
      <c r="D2" s="77"/>
      <c r="E2" s="115" t="s">
        <v>290</v>
      </c>
      <c r="F2" s="116"/>
      <c r="G2" s="116"/>
      <c r="H2" s="116"/>
      <c r="I2" s="116"/>
      <c r="J2" s="116"/>
      <c r="K2" s="117"/>
      <c r="L2" s="77"/>
      <c r="M2" s="77"/>
      <c r="N2" s="77"/>
      <c r="O2" s="77"/>
    </row>
    <row r="3" ht="49.5" customHeight="1">
      <c r="A3" s="77"/>
      <c r="B3" s="77"/>
      <c r="C3" s="77"/>
      <c r="D3" s="118"/>
      <c r="E3" s="119"/>
      <c r="F3" s="120"/>
      <c r="G3" s="120"/>
      <c r="H3" s="120" t="s">
        <v>291</v>
      </c>
      <c r="I3" s="120" t="s">
        <v>292</v>
      </c>
      <c r="J3" s="13" t="s">
        <v>293</v>
      </c>
      <c r="K3" s="119"/>
      <c r="L3" s="77"/>
      <c r="M3" s="77"/>
      <c r="N3" s="77"/>
      <c r="O3" s="77"/>
    </row>
    <row r="4" ht="49.5" customHeight="1">
      <c r="A4" s="77"/>
      <c r="B4" s="77"/>
      <c r="C4" s="77"/>
      <c r="D4" s="118"/>
      <c r="E4" s="121"/>
      <c r="F4" s="120" t="s">
        <v>294</v>
      </c>
      <c r="G4" s="120" t="s">
        <v>295</v>
      </c>
      <c r="H4" s="120" t="s">
        <v>296</v>
      </c>
      <c r="I4" s="13" t="s">
        <v>297</v>
      </c>
      <c r="J4" s="120"/>
      <c r="K4" s="122"/>
      <c r="L4" s="77"/>
      <c r="M4" s="77"/>
      <c r="N4" s="77"/>
      <c r="O4" s="77"/>
    </row>
    <row r="5" ht="49.5" customHeight="1">
      <c r="D5" s="118"/>
      <c r="E5" s="123"/>
      <c r="F5" s="124" t="s">
        <v>298</v>
      </c>
      <c r="G5" s="120"/>
      <c r="H5" s="120" t="s">
        <v>299</v>
      </c>
      <c r="I5" s="120" t="s">
        <v>300</v>
      </c>
      <c r="J5" s="119"/>
      <c r="K5" s="125" t="s">
        <v>301</v>
      </c>
      <c r="L5" s="77"/>
      <c r="M5" s="77"/>
      <c r="N5" s="77"/>
      <c r="O5" s="77"/>
    </row>
    <row r="6" ht="49.5" customHeight="1">
      <c r="A6" s="81"/>
      <c r="B6" s="81"/>
      <c r="C6" s="81"/>
      <c r="D6" s="126"/>
      <c r="E6" s="120"/>
      <c r="F6" s="127"/>
      <c r="G6" s="120"/>
      <c r="H6" s="120" t="s">
        <v>302</v>
      </c>
      <c r="I6" s="120" t="s">
        <v>303</v>
      </c>
      <c r="J6" s="128"/>
      <c r="K6" s="129"/>
      <c r="L6" s="77"/>
      <c r="M6" s="77"/>
      <c r="N6" s="77"/>
      <c r="O6" s="77"/>
    </row>
    <row r="7" ht="49.5" customHeight="1">
      <c r="A7" s="77"/>
      <c r="B7" s="77"/>
      <c r="C7" s="77"/>
      <c r="D7" s="130" t="s">
        <v>304</v>
      </c>
      <c r="E7" s="131" t="s">
        <v>305</v>
      </c>
      <c r="F7" s="132"/>
      <c r="G7" s="120"/>
      <c r="H7" s="120" t="s">
        <v>306</v>
      </c>
      <c r="I7" s="120"/>
      <c r="K7" s="122"/>
      <c r="L7" s="77"/>
      <c r="M7" s="77"/>
      <c r="N7" s="77"/>
      <c r="O7" s="77"/>
    </row>
    <row r="8" ht="49.5" customHeight="1">
      <c r="A8" s="13"/>
      <c r="B8" s="13"/>
      <c r="C8" s="13"/>
      <c r="E8" s="133"/>
      <c r="F8" s="134" t="s">
        <v>307</v>
      </c>
      <c r="G8" s="135"/>
      <c r="H8" s="128"/>
      <c r="I8" s="128"/>
      <c r="J8" s="128" t="s">
        <v>308</v>
      </c>
      <c r="K8" s="119"/>
      <c r="L8" s="25"/>
      <c r="M8" s="25"/>
      <c r="N8" s="25"/>
      <c r="O8" s="25"/>
    </row>
    <row r="9" ht="49.5" customHeight="1">
      <c r="A9" s="77"/>
      <c r="B9" s="77"/>
      <c r="C9" s="77"/>
      <c r="D9" s="118"/>
      <c r="E9" s="120"/>
      <c r="F9" s="136"/>
      <c r="G9" s="120"/>
      <c r="H9" s="120"/>
      <c r="I9" s="120"/>
      <c r="J9" s="137"/>
      <c r="K9" s="121"/>
      <c r="L9" s="77"/>
      <c r="M9" s="77"/>
      <c r="N9" s="77"/>
      <c r="O9" s="77"/>
    </row>
    <row r="10" ht="49.5" customHeight="1">
      <c r="A10" s="77"/>
      <c r="B10" s="77"/>
      <c r="C10" s="77"/>
      <c r="D10" s="77"/>
      <c r="E10" s="138"/>
      <c r="F10" s="137"/>
      <c r="G10" s="128"/>
      <c r="H10" s="128"/>
      <c r="I10" s="128"/>
      <c r="J10" s="120"/>
      <c r="K10" s="139"/>
      <c r="L10" s="77"/>
      <c r="M10" s="77"/>
      <c r="N10" s="77"/>
      <c r="O10" s="77"/>
    </row>
    <row r="11" ht="49.5" customHeight="1">
      <c r="A11" s="77"/>
      <c r="B11" s="77"/>
      <c r="C11" s="77"/>
      <c r="D11" s="77"/>
      <c r="E11" s="138"/>
      <c r="F11" s="120"/>
      <c r="G11" s="140"/>
      <c r="H11" s="140" t="s">
        <v>216</v>
      </c>
      <c r="I11" s="140"/>
      <c r="J11" s="140"/>
      <c r="K11" s="120"/>
      <c r="L11" s="77"/>
      <c r="M11" s="77"/>
      <c r="N11" s="77"/>
      <c r="O11" s="77"/>
    </row>
    <row r="12" ht="39.0" customHeight="1">
      <c r="A12" s="77"/>
      <c r="B12" s="77"/>
      <c r="C12" s="77"/>
      <c r="D12" s="77"/>
      <c r="E12" s="13"/>
      <c r="F12" s="13"/>
      <c r="G12" s="13" t="s">
        <v>309</v>
      </c>
      <c r="H12" s="13" t="s">
        <v>310</v>
      </c>
      <c r="I12" s="13"/>
      <c r="J12" s="13" t="s">
        <v>311</v>
      </c>
      <c r="K12" s="13"/>
      <c r="L12" s="77"/>
      <c r="M12" s="77"/>
      <c r="N12" s="77"/>
      <c r="O12" s="77"/>
    </row>
    <row r="13" ht="39.0" customHeight="1">
      <c r="A13" s="77"/>
      <c r="B13" s="77"/>
      <c r="C13" s="77"/>
      <c r="D13" s="77"/>
      <c r="E13" s="13"/>
      <c r="F13" s="13"/>
      <c r="G13" s="13"/>
      <c r="H13" s="13"/>
      <c r="I13" s="13"/>
      <c r="J13" s="13"/>
      <c r="K13" s="13"/>
      <c r="L13" s="77"/>
      <c r="M13" s="77"/>
      <c r="N13" s="77"/>
      <c r="O13" s="77"/>
    </row>
    <row r="14" ht="39.0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</row>
    <row r="15" ht="39.0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</row>
  </sheetData>
  <mergeCells count="4">
    <mergeCell ref="E2:K2"/>
    <mergeCell ref="F5:F6"/>
    <mergeCell ref="F8:F10"/>
    <mergeCell ref="J8:J9"/>
  </mergeCells>
  <drawing r:id="rId1"/>
</worksheet>
</file>