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<sst xmlns="http://schemas.openxmlformats.org/spreadsheetml/2006/main" count="287" uniqueCount="204">
  <si>
    <t xml:space="preserve"> </t>
  </si>
  <si>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</si>
  <si>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</si>
  <si>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</si>
  <si>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</si>
  <si>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</si>
  <si>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</si>
  <si>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</si>
  <si>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</si>
  <si>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</si>
  <si>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</si>
  <si>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</si>
  <si>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</si>
  <si>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</si>
  <si>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</si>
  <si>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</si>
  <si>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tkirby</t>
  </si>
  <si>
    <t>是</t>
  </si>
  <si>
    <t>文字編輯戰鬥團</t>
  </si>
  <si>
    <t>CC0</t>
  </si>
  <si>
    <t>https://g0v.hackpad.tw/g0v--KgJrTYXsd4b</t>
  </si>
  <si>
    <t>基礎建設 / 文字 / 行銷</t>
  </si>
  <si>
    <t>文編 / 小編 / 媒體 / 行銷</t>
  </si>
  <si>
    <t>https://www.youtube.com/watch?v=bFe6u6Khyho&amp;index=3&amp;list=PLdwQWxpS513AiFu-r4_sNmD8dWoeQWCZx</t>
  </si>
  <si>
    <t>https://drive.google.com/drive/folders/1ixc0IA3aMLjyEF3EnWTdsVJhUNXqL59h</t>
  </si>
  <si>
    <t>Starhead</t>
  </si>
  <si>
    <t>友善環境同溫層App</t>
  </si>
  <si>
    <t>MIT</t>
  </si>
  <si>
    <t>https://g0v.hackpad.tw/App-bBclKtkhC3L</t>
  </si>
  <si>
    <t xml:space="preserve"> https://docs.google.com/presentation/d/1Kgq1yBuuW-eEhWBKvX5MHzuGY3KWsRoO0OteigOginE/edit?usp=sharing</t>
  </si>
  <si>
    <t>友善環境 / 不塑 / 串連</t>
  </si>
  <si>
    <t>程式 / UX顧問 / 資料登錄</t>
  </si>
  <si>
    <t>https://www.youtube.com/watch?v=joPN6YlDtmU&amp;list=PLdwQWxpS513AiFu-r4_sNmD8dWoeQWCZx&amp;index=4</t>
  </si>
  <si>
    <t>Ronny</t>
  </si>
  <si>
    <t>求職小幫手</t>
  </si>
  <si>
    <t>Code: BSD, Data: CC0</t>
  </si>
  <si>
    <t>https://g0v.hackpad.tw/v35eOZ6CVGI</t>
  </si>
  <si>
    <t>勞動 / 勞基法</t>
  </si>
  <si>
    <t>設計 / 行銷 / 勞動法</t>
  </si>
  <si>
    <t>https://www.youtube.com/watch?v=FaIguKr475s&amp;list=PLdwQWxpS513AiFu-r4_sNmD8dWoeQWCZx&amp;index=5</t>
  </si>
  <si>
    <t>小蟹</t>
  </si>
  <si>
    <t>阿美語萌典</t>
  </si>
  <si>
    <t>https://github.com/g0v/amis-moedict</t>
  </si>
  <si>
    <t>https://amis.moedict.tw</t>
  </si>
  <si>
    <t>阿美語、台灣原住民語與南島語、台灣原住民族文化</t>
  </si>
  <si>
    <t>後端工程師、前端工程師、有興趣的人</t>
  </si>
  <si>
    <t>https://www.youtube.com/watch?v=v4_E2RjhWoM&amp;list=PLdwQWxpS513AiFu-r4_sNmD8dWoeQWCZx&amp;index=6</t>
  </si>
  <si>
    <t>https://docs.google.com/presentation/d/1Ic-lq29Qo3laOCV4FWUHAKoCxNS08TPn_w3FkoGxBKE/edit?usp=sharing</t>
  </si>
  <si>
    <t>mrorz</t>
  </si>
  <si>
    <t>Cofacts 真的假的</t>
  </si>
  <si>
    <t>Code: MIT / Data: CC0</t>
  </si>
  <si>
    <t>beta.hackfoldr.org/cofacts</t>
  </si>
  <si>
    <t>cofacts.g0v.tw</t>
  </si>
  <si>
    <t>Fact-checking, crowd-sourcing, chatbot</t>
  </si>
  <si>
    <t>編輯：會上網查證的人
程式：Node.JS, React.JS
玩資料：elasticsearch
設計：UX、Cofacts 網站使用者</t>
  </si>
  <si>
    <t>https://www.youtube.com/watch?v=8AIass_ImOA&amp;index=7&amp;list=PLdwQWxpS513AiFu-r4_sNmD8dWoeQWCZx</t>
  </si>
  <si>
    <t>https://docs.google.com/presentation/d/1AScoEKc6J8R3qiNRhXC1POLIBMX-dbgCECgnUxvpeaw/edit#slide=id.p</t>
  </si>
  <si>
    <t>bess</t>
  </si>
  <si>
    <t>The Space Hub</t>
  </si>
  <si>
    <t>cc by-nc</t>
  </si>
  <si>
    <t>https://g0v.hackpad.tw/The-Space-Hub</t>
  </si>
  <si>
    <t>基礎建設 / 地圖 / 平台</t>
  </si>
  <si>
    <t>對空間與其相關議題有興趣的人 / 文字 / 資料收集 / 程式 / 或其他可能？</t>
  </si>
  <si>
    <t>https://docs.google.com/presentation/d/1cg8IMtvAPjhCvvezogPoQgaCTlQwhhoIfzFZCJxxiN0/edit?usp=sharing</t>
  </si>
  <si>
    <t>johnny</t>
  </si>
  <si>
    <t>議員投票指南 - 送紅包      袋</t>
  </si>
  <si>
    <t>https://www.facebook.com/events/798602507005190/</t>
  </si>
  <si>
    <t>https://councils.g0v.tw/</t>
  </si>
  <si>
    <t>ttcat</t>
  </si>
  <si>
    <t>g0v-shadow 影子政府網站</t>
  </si>
  <si>
    <t>https://g0v.hackpad.tw/g0v-shadow--ta138sdLdND</t>
  </si>
  <si>
    <t>g0v、shadow website、大平台</t>
  </si>
  <si>
    <t>工程師、UI/UX、設計師</t>
  </si>
  <si>
    <t>積木</t>
  </si>
  <si>
    <t>2018縣市長選舉地圖</t>
  </si>
  <si>
    <t>https://hackmd.io/GwDghgJhCmEKwFpogsBAWAzHaCCcATCAOwIAMeYARnAIwTHrpUBmQA==</t>
  </si>
  <si>
    <t>http://jizz5566.github.io/2010-2016/map.html</t>
  </si>
  <si>
    <t>選舉 / 投票 / 地圖 / 找褲子</t>
  </si>
  <si>
    <t>前端：會寫html/css/javascript/jquey會接API的人
後端：協助將資料轉檔並匯入資料庫
美術：協助網頁切版、設計、畫圖表
文字：會說故事的人
民調分析師：解釋各種選舉統計的意義</t>
  </si>
  <si>
    <t>https://docs.google.com/presentation/d/1L9b-mnnXFTqHKS74HTyi8GbVd-7N_B9ZyKvi1pJVn9Q/edit?usp=sharing</t>
  </si>
  <si>
    <t>子魚</t>
  </si>
  <si>
    <t>Code for Japan(Nanto) 開放資料新手村桌遊中文版</t>
  </si>
  <si>
    <t>https://g0v.hackpad.tw/Code-for-JapanNanto--qIrL0tB5POF</t>
  </si>
  <si>
    <t>https://docs.google.com/presentation/d/1DcPAXMaOFvOLszW2QELnK1uZA2xSpCj2x7TfnfmVnwE/edit?usp=sharing</t>
  </si>
  <si>
    <t>桌遊 / 挑戰無人駕駛坑</t>
  </si>
  <si>
    <t>坑主
主持人
試玩的人
文字：用g0v專案把遊戲本地化</t>
  </si>
  <si>
    <t>vTaiwan：來做Chatbot吧</t>
  </si>
  <si>
    <t>https://sense.tw</t>
  </si>
  <si>
    <t>https://docs.google.com/presentation/d/1fzcl1M43iA_1bqRbY3_r_jgP6OnJwZbrKNUPdkQKbcQ/edit#slide=id.p</t>
  </si>
  <si>
    <t>公民參與</t>
  </si>
  <si>
    <t>_x0008_行銷 / 文編 / 攻城師 / 法律人 / 熟悉問卷設計的人</t>
  </si>
  <si>
    <t>sense.tw</t>
  </si>
  <si>
    <t>y</t>
  </si>
  <si>
    <t>線上意見整理工具、線上社群參與政策手冊</t>
  </si>
  <si>
    <t>https://docs.google.com/presentation/d/1mHMtkId9kWDnVgszQVbYxfx4wCJnLXryJ6eIRMnx_CE/edit#slide=id.g2f95f3a2fb_0_10</t>
  </si>
  <si>
    <t>科技政策、意見整理、公民參與</t>
  </si>
  <si>
    <t>意見整理者、去政府開會的人、想推議題的人、行銷、積極公民</t>
  </si>
  <si>
    <t>協作手冊大綱：https://g0v.hackpad.tw/sense.tw-113-sZmzBTW1azj</t>
  </si>
  <si>
    <t>ballII</t>
  </si>
  <si>
    <t>推動「未婚女性接受人工生殖」合法化</t>
  </si>
  <si>
    <t>https://g0v.hackpad.tw/PxKqJGnlrEn</t>
  </si>
  <si>
    <t>https://join.gov.tw/idea/detail/53479b9a-8cbb-4ea0-9f16-2294c97f24ac</t>
  </si>
  <si>
    <t>文字、資料蒐集閱讀、粉專小編、政府相關人員</t>
  </si>
  <si>
    <t>柏豪</t>
  </si>
  <si>
    <t>勞動相關遊戲計畫</t>
  </si>
  <si>
    <t>https://g0v.hackpad.tw/hnC9l7LwwwNGRd</t>
  </si>
  <si>
    <t>勞基法/勞工/遊戲</t>
  </si>
  <si>
    <t>APP開發工程師、小說家、資訊工程師、檔案庫管理者、插畫工作者、音樂工作者、有興趣的朋友（前期提供意見，後期可提供遊戲測試回饋）</t>
  </si>
  <si>
    <t>fi</t>
  </si>
  <si>
    <t>市議員在幹嘛</t>
  </si>
  <si>
    <t>https://hackmd.io/EYQw7ArGAMAmDGBaeAWAZtRKDMLMmAA4AmLCYFSAUxGhVhCA</t>
  </si>
  <si>
    <t>https://docs.google.com/presentation/d/1O6OQb8k8kylwAArEOq522HHX6q8iVUCbpNZf3VbxxYQ/edit?usp=sharing</t>
  </si>
  <si>
    <t>議員/選舉/智力測驗</t>
  </si>
  <si>
    <t xml:space="preserve">文案寫手、幫忙抓資料、設計師、前端工程師
</t>
  </si>
  <si>
    <t>彭啟明</t>
  </si>
  <si>
    <t>天氣風險開放資料</t>
  </si>
  <si>
    <t>HackingMap DEMO</t>
  </si>
  <si>
    <t>https://g0v.github.io/HackingMap</t>
  </si>
  <si>
    <t>基礎建設</t>
  </si>
  <si>
    <t>坑主更新專案</t>
  </si>
  <si>
    <t>== 截止 ==</t>
  </si>
  <si>
    <t>14:30【8分鐘短講報名】
每個 present 8min，分享議題、專案、研究、技術皆可。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</si>
  <si>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</si>
  <si>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</si>
  <si>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</si>
  <si>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</si>
  <si>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</si>
  <si>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</si>
  <si>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從氣象看空汙問題</t>
  </si>
  <si>
    <t>周哲維</t>
  </si>
  <si>
    <t>開放氣象資料</t>
  </si>
  <si>
    <t>weiting</t>
  </si>
  <si>
    <t>阿美語版原住民族基本法</t>
  </si>
  <si>
    <t>https://goo.gl/rQiyAi</t>
  </si>
  <si>
    <t>阿美語、原基法</t>
  </si>
  <si>
    <t>可以錄音的人</t>
  </si>
  <si>
    <t>子期</t>
  </si>
  <si>
    <t>德國 34C3 見聞</t>
  </si>
  <si>
    <t>駭客、科技、政治</t>
  </si>
  <si>
    <t>揪松團</t>
  </si>
  <si>
    <t>g0v 公民科創新獎助金</t>
  </si>
  <si>
    <t>https://grants.g0v.tw/</t>
  </si>
  <si>
    <t>提案、提問</t>
  </si>
  <si>
    <t>https://www.facebook.com/pg/g0v.tw/photos/?tab=album&amp;album_id=1804488836259061</t>
  </si>
  <si>
    <t>本期開放4位8分鐘</t>
  </si>
  <si>
    <t>17:00【 present project】 規則：於106-7會議室舉行
每個 present 5min，可視 project 數量和剩餘時間調整</t>
  </si>
  <si>
    <t>揪松網</t>
  </si>
  <si>
    <t>https://jothon.d3b.info</t>
  </si>
  <si>
    <t>文字</t>
  </si>
  <si>
    <t>17:05</t>
  </si>
  <si>
    <t>Daky</t>
  </si>
  <si>
    <t>投票指南app</t>
  </si>
  <si>
    <t>https://github.com/Daky/voter-guide-app</t>
  </si>
  <si>
    <t>美術設計</t>
  </si>
  <si>
    <t>17:10</t>
  </si>
  <si>
    <t>17:15</t>
  </si>
  <si>
    <t>17:20</t>
  </si>
  <si>
    <t>yutin</t>
  </si>
  <si>
    <t>資動部功德錄</t>
  </si>
  <si>
    <t>https://g0v.github.io/merityuan/</t>
  </si>
  <si>
    <t>17:25</t>
  </si>
  <si>
    <t>https://hackmd.io/EYQw7ArGAMAmDGBaeAWAZtRKDMLMmAA4AmLCYFSAUxGhVhCA?both#1-%E5%B8%82%E8%AD%B0%E5%93%A1%E6%9C%83%E7%94%A8%E5%93%AA%E4%BA%9B%E6%96%B9%E5%BC%8F%E7%8D%B2%E5%BE%97%E6%B0%91%E6%84%8F-%EF%BC%9F</t>
  </si>
  <si>
    <t>https://plotdb.io/v/chart/16624</t>
  </si>
  <si>
    <t>17:30</t>
  </si>
  <si>
    <t>「少點 Less,More」友善環境同溫層App</t>
  </si>
  <si>
    <t>https://docs.google.com/presentation/d/1LZMBng6xYoczslGHaXSsh9zVnPCfykTW9uADAJnN1yY/edit?usp=sharing</t>
  </si>
  <si>
    <t>17:35</t>
  </si>
  <si>
    <t>ronny</t>
  </si>
  <si>
    <t>BSD</t>
  </si>
  <si>
    <t>17:40</t>
  </si>
  <si>
    <t>lafin</t>
  </si>
  <si>
    <t>https://docs.google.com/presentation/d/1Ic-lq29Qo3laOCV4FWUHAKoCxNS08TPn_w3FkoGxBKE/edit?ts=5a54de3e#slide=id.g2ed785607d_0_19</t>
  </si>
  <si>
    <t>阿美語、台灣原住民語與南島語、原住民族基本法</t>
  </si>
  <si>
    <t>文字工、前端、後端、錄影原住民族基本法的人</t>
  </si>
  <si>
    <t>17:45</t>
  </si>
  <si>
    <t>Jay</t>
  </si>
  <si>
    <t>vTaiwan (chatbot)</t>
  </si>
  <si>
    <t>https://docs.google.com/document/d/159co9IpFGTT-F3CPjrqjJlzOctAVKAps8TmBMjmef9c/edit</t>
  </si>
  <si>
    <t>https://www.facebook.com/vtaiwan.tw/</t>
  </si>
  <si>
    <t>17:50</t>
  </si>
  <si>
    <t>紅雨</t>
  </si>
  <si>
    <t>https://docs.google.com/presentation/d/1DcPAXMaOFvOLszW2QELnK1uZA2xSpCj2x7TfnfmVnwE/edit?usp=sharing
本日成果
https://drive.google.com/open?id=1DbZWwwzoey310XKRPlQtjDTdTnxrn9eb</t>
  </si>
  <si>
    <t>17:55</t>
  </si>
  <si>
    <t>Vienna</t>
  </si>
  <si>
    <t>Sustainable civictech financing-economy. Distributed token/ICO finance support for social movement</t>
  </si>
  <si>
    <t>https://economicspace.agency/</t>
  </si>
  <si>
    <t>vienna@cryptolab.net</t>
  </si>
  <si>
    <t xml:space="preserve">Blockchain token economy. Gamified </t>
  </si>
  <si>
    <t>18:00</t>
  </si>
  <si>
    <t>ael</t>
  </si>
  <si>
    <t>https://g0v.hackpad.tw/sense.tw-113-sZmzBTW1azj</t>
  </si>
  <si>
    <t>線上審議、公民參與、科技願景</t>
  </si>
  <si>
    <t>行銷、積極公民、政府內的人</t>
  </si>
  <si>
    <t>Noah</t>
  </si>
  <si>
    <t>Public Code / OpenAPI</t>
  </si>
  <si>
    <t>https://g0v.hackpad.tw/Public-Code--MDDEWRPg0uX</t>
  </si>
  <si>
    <t>https://publiccode.asia/zh_tw/</t>
  </si>
  <si>
    <t>開源、政府專案、推廣</t>
  </si>
  <si>
    <t>106/107</t>
  </si>
  <si>
    <t>開場場地 舞台</t>
  </si>
  <si>
    <t>白板</t>
  </si>
  <si>
    <t>門</t>
  </si>
  <si>
    <t xml:space="preserve"> 門</t>
  </si>
  <si>
    <t>Cofacts / 
真的假的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</si>
</sst>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1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color rgb="FF0000FF"/>
    </font>
    <font>
      <u/>
      <color rgb="FF0000FF"/>
    </font>
    <font>
      <u/>
      <color rgb="FF1155CC"/>
      <name val="Arial"/>
    </font>
    <font>
      <name val="Arial"/>
    </font>
    <font>
      <u/>
      <color rgb="FF1155CC"/>
      <name val="Arial"/>
    </font>
    <font>
      <u/>
      <color rgb="FF0000FF"/>
    </font>
    <font>
      <sz val="10.0"/>
    </font>
    <font>
      <u/>
      <color rgb="FF0000FF"/>
      <name val="Arial"/>
    </font>
    <font>
      <sz val="10.0"/>
      <color rgb="FF000000"/>
      <name val="ProximaNova-Semibold"/>
    </font>
    <font>
      <u/>
      <sz val="10.0"/>
      <color rgb="FF0000FF"/>
    </font>
    <font>
      <u/>
      <color rgb="FF0000FF"/>
    </font>
    <font>
      <u/>
      <color rgb="FF0000FF"/>
    </font>
    <font>
      <u/>
      <color rgb="FF0000FF"/>
    </font>
    <font>
      <sz val="12.0"/>
    </font>
    <font>
      <u/>
      <color rgb="FF0000FF"/>
    </font>
    <font>
      <u/>
      <color rgb="FF0000FF"/>
    </font>
    <font>
      <u/>
      <sz val="11.0"/>
      <color rgb="FF0000FF"/>
    </font>
    <font>
      <u/>
      <color rgb="FF000000"/>
    </font>
    <font>
      <u/>
      <sz val="11.0"/>
      <color rgb="FF2B80B9"/>
    </font>
    <font>
      <u/>
      <color rgb="FF0000FF"/>
    </font>
    <font>
      <sz val="14.0"/>
    </font>
    <font>
      <sz val="6.0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3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11" numFmtId="0" xfId="0" applyAlignment="1" applyFont="1">
      <alignment readingOrder="0" shrinkToFit="0" wrapText="1"/>
    </xf>
    <xf borderId="0" fillId="5" fontId="16" numFmtId="0" xfId="0" applyAlignment="1" applyFill="1" applyFont="1">
      <alignment readingOrder="0" shrinkToFit="0" vertical="center" wrapText="1"/>
    </xf>
    <xf borderId="0" fillId="5" fontId="17" numFmtId="0" xfId="0" applyAlignment="1" applyFont="1">
      <alignment horizontal="left" readingOrder="0" shrinkToFit="0" wrapText="1"/>
    </xf>
    <xf borderId="0" fillId="3" fontId="11" numFmtId="0" xfId="0" applyAlignment="1" applyFont="1">
      <alignment horizontal="center"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bottom" wrapText="1"/>
    </xf>
    <xf borderId="0" fillId="5" fontId="7" numFmtId="0" xfId="0" applyAlignment="1" applyFont="1">
      <alignment horizontal="center"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9" numFmtId="0" xfId="0" applyAlignment="1" applyFont="1">
      <alignment readingOrder="0" shrinkToFit="0" wrapText="1"/>
    </xf>
    <xf borderId="0" fillId="0" fontId="7" numFmtId="0" xfId="0" applyAlignment="1" applyFont="1">
      <alignment horizontal="left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4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5" fontId="22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shrinkToFit="0" vertical="center" wrapText="1"/>
    </xf>
    <xf borderId="0" fillId="6" fontId="7" numFmtId="0" xfId="0" applyAlignment="1" applyFill="1" applyFont="1">
      <alignment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quotePrefix="1" borderId="0" fillId="6" fontId="14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left" readingOrder="0" shrinkToFit="0" wrapText="1"/>
    </xf>
    <xf borderId="0" fillId="0" fontId="25" numFmtId="0" xfId="0" applyAlignment="1" applyFont="1">
      <alignment horizontal="center" readingOrder="0" shrinkToFit="0" wrapText="1"/>
    </xf>
    <xf borderId="0" fillId="0" fontId="26" numFmtId="0" xfId="0" applyAlignment="1" applyFont="1">
      <alignment readingOrder="0" shrinkToFit="0" wrapText="1"/>
    </xf>
    <xf borderId="0" fillId="5" fontId="14" numFmtId="0" xfId="0" applyAlignment="1" applyFont="1">
      <alignment horizontal="left" readingOrder="0" shrinkToFit="0" wrapText="1"/>
    </xf>
    <xf borderId="0" fillId="5" fontId="14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vertical="center" wrapText="1"/>
    </xf>
    <xf borderId="0" fillId="8" fontId="7" numFmtId="20" xfId="0" applyAlignment="1" applyFont="1" applyNumberFormat="1">
      <alignment horizontal="center" readingOrder="0"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shrinkToFit="0" vertical="center" wrapText="1"/>
    </xf>
    <xf borderId="0" fillId="8" fontId="21" numFmtId="0" xfId="0" applyAlignment="1" applyFont="1">
      <alignment readingOrder="0" shrinkToFit="0" vertical="center" wrapText="1"/>
    </xf>
    <xf borderId="0" fillId="8" fontId="2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28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9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30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othon.d3b.info" TargetMode="External"/><Relationship Id="rId42" Type="http://schemas.openxmlformats.org/officeDocument/2006/relationships/hyperlink" Target="https://g0v.hackpad.tw/g0v-shadow--ta138sdLdND" TargetMode="External"/><Relationship Id="rId41" Type="http://schemas.openxmlformats.org/officeDocument/2006/relationships/hyperlink" Target="https://github.com/Daky/voter-guide-app" TargetMode="External"/><Relationship Id="rId44" Type="http://schemas.openxmlformats.org/officeDocument/2006/relationships/hyperlink" Target="https://hackmd.io/EYQw7ArGAMAmDGBaeAWAZtRKDMLMmAA4AmLCYFSAUxGhVhCA?both" TargetMode="External"/><Relationship Id="rId43" Type="http://schemas.openxmlformats.org/officeDocument/2006/relationships/hyperlink" Target="https://g0v.github.io/merityuan/" TargetMode="External"/><Relationship Id="rId46" Type="http://schemas.openxmlformats.org/officeDocument/2006/relationships/hyperlink" Target="https://docs.google.com/presentation/d/1LZMBng6xYoczslGHaXSsh9zVnPCfykTW9uADAJnN1yY/edit?usp=sharing" TargetMode="External"/><Relationship Id="rId45" Type="http://schemas.openxmlformats.org/officeDocument/2006/relationships/hyperlink" Target="https://plotdb.io/v/chart/16624" TargetMode="External"/><Relationship Id="rId1" Type="http://schemas.openxmlformats.org/officeDocument/2006/relationships/hyperlink" Target="https://g0v.hackpad.tw/g0v--KgJrTYXsd4b" TargetMode="External"/><Relationship Id="rId2" Type="http://schemas.openxmlformats.org/officeDocument/2006/relationships/hyperlink" Target="https://www.youtube.com/watch?v=bFe6u6Khyho&amp;index=3&amp;list=PLdwQWxpS513AiFu-r4_sNmD8dWoeQWCZx" TargetMode="External"/><Relationship Id="rId3" Type="http://schemas.openxmlformats.org/officeDocument/2006/relationships/hyperlink" Target="https://drive.google.com/drive/folders/1ixc0IA3aMLjyEF3EnWTdsVJhUNXqL59h" TargetMode="External"/><Relationship Id="rId4" Type="http://schemas.openxmlformats.org/officeDocument/2006/relationships/hyperlink" Target="https://g0v.hackpad.tw/App-bBclKtkhC3L" TargetMode="External"/><Relationship Id="rId9" Type="http://schemas.openxmlformats.org/officeDocument/2006/relationships/hyperlink" Target="https://github.com/g0v/amis-moedict" TargetMode="External"/><Relationship Id="rId48" Type="http://schemas.openxmlformats.org/officeDocument/2006/relationships/hyperlink" Target="https://docs.google.com/document/d/159co9IpFGTT-F3CPjrqjJlzOctAVKAps8TmBMjmef9c/edit" TargetMode="External"/><Relationship Id="rId47" Type="http://schemas.openxmlformats.org/officeDocument/2006/relationships/hyperlink" Target="https://docs.google.com/presentation/d/1Ic-lq29Qo3laOCV4FWUHAKoCxNS08TPn_w3FkoGxBKE/edit?ts=5a54de3e" TargetMode="External"/><Relationship Id="rId49" Type="http://schemas.openxmlformats.org/officeDocument/2006/relationships/hyperlink" Target="https://www.facebook.com/vtaiwan.tw/" TargetMode="External"/><Relationship Id="rId5" Type="http://schemas.openxmlformats.org/officeDocument/2006/relationships/hyperlink" Target="https://docs.google.com/presentation/d/1Kgq1yBuuW-eEhWBKvX5MHzuGY3KWsRoO0OteigOginE/edit?usp=sharing" TargetMode="External"/><Relationship Id="rId6" Type="http://schemas.openxmlformats.org/officeDocument/2006/relationships/hyperlink" Target="https://www.youtube.com/watch?v=joPN6YlDtmU&amp;list=PLdwQWxpS513AiFu-r4_sNmD8dWoeQWCZx&amp;index=4" TargetMode="External"/><Relationship Id="rId7" Type="http://schemas.openxmlformats.org/officeDocument/2006/relationships/hyperlink" Target="https://g0v.hackpad.tw/v35eOZ6CVGI" TargetMode="External"/><Relationship Id="rId8" Type="http://schemas.openxmlformats.org/officeDocument/2006/relationships/hyperlink" Target="https://www.youtube.com/watch?v=FaIguKr475s&amp;list=PLdwQWxpS513AiFu-r4_sNmD8dWoeQWCZx&amp;index=5" TargetMode="External"/><Relationship Id="rId31" Type="http://schemas.openxmlformats.org/officeDocument/2006/relationships/hyperlink" Target="https://g0v.hackpad.tw/PxKqJGnlrEn" TargetMode="External"/><Relationship Id="rId30" Type="http://schemas.openxmlformats.org/officeDocument/2006/relationships/hyperlink" Target="https://docs.google.com/presentation/d/1mHMtkId9kWDnVgszQVbYxfx4wCJnLXryJ6eIRMnx_CE/edit" TargetMode="External"/><Relationship Id="rId33" Type="http://schemas.openxmlformats.org/officeDocument/2006/relationships/hyperlink" Target="https://g0v.hackpad.tw/hnC9l7LwwwNGRd" TargetMode="External"/><Relationship Id="rId32" Type="http://schemas.openxmlformats.org/officeDocument/2006/relationships/hyperlink" Target="https://join.gov.tw/idea/detail/53479b9a-8cbb-4ea0-9f16-2294c97f24ac" TargetMode="External"/><Relationship Id="rId35" Type="http://schemas.openxmlformats.org/officeDocument/2006/relationships/hyperlink" Target="https://docs.google.com/presentation/d/1O6OQb8k8kylwAArEOq522HHX6q8iVUCbpNZf3VbxxYQ/edit?usp=sharing" TargetMode="External"/><Relationship Id="rId34" Type="http://schemas.openxmlformats.org/officeDocument/2006/relationships/hyperlink" Target="https://hackmd.io/EYQw7ArGAMAmDGBaeAWAZtRKDMLMmAA4AmLCYFSAUxGhVhCA" TargetMode="External"/><Relationship Id="rId37" Type="http://schemas.openxmlformats.org/officeDocument/2006/relationships/hyperlink" Target="https://goo.gl/rQiyAi" TargetMode="External"/><Relationship Id="rId36" Type="http://schemas.openxmlformats.org/officeDocument/2006/relationships/hyperlink" Target="https://g0v.github.io/HackingMap" TargetMode="External"/><Relationship Id="rId39" Type="http://schemas.openxmlformats.org/officeDocument/2006/relationships/hyperlink" Target="https://www.facebook.com/pg/g0v.tw/photos/?tab=album&amp;album_id=1804488836259061" TargetMode="External"/><Relationship Id="rId38" Type="http://schemas.openxmlformats.org/officeDocument/2006/relationships/hyperlink" Target="https://grants.g0v.tw/" TargetMode="External"/><Relationship Id="rId20" Type="http://schemas.openxmlformats.org/officeDocument/2006/relationships/hyperlink" Target="https://councils.g0v.tw/" TargetMode="External"/><Relationship Id="rId22" Type="http://schemas.openxmlformats.org/officeDocument/2006/relationships/hyperlink" Target="https://hackmd.io/GwDghgJhCmEKwFpogsBAWAzHaCCcATCAOwIAMeYARnAIwTHrpUBmQA==" TargetMode="External"/><Relationship Id="rId21" Type="http://schemas.openxmlformats.org/officeDocument/2006/relationships/hyperlink" Target="https://g0v.hackpad.tw/g0v-shadow--ta138sdLdND" TargetMode="External"/><Relationship Id="rId24" Type="http://schemas.openxmlformats.org/officeDocument/2006/relationships/hyperlink" Target="https://docs.google.com/presentation/d/1L9b-mnnXFTqHKS74HTyi8GbVd-7N_B9ZyKvi1pJVn9Q/edit?usp=sharing" TargetMode="External"/><Relationship Id="rId23" Type="http://schemas.openxmlformats.org/officeDocument/2006/relationships/hyperlink" Target="http://jizz5566.github.io/2010-2016/map.html" TargetMode="External"/><Relationship Id="rId26" Type="http://schemas.openxmlformats.org/officeDocument/2006/relationships/hyperlink" Target="https://docs.google.com/presentation/d/1DcPAXMaOFvOLszW2QELnK1uZA2xSpCj2x7TfnfmVnwE/edit?usp=sharing" TargetMode="External"/><Relationship Id="rId25" Type="http://schemas.openxmlformats.org/officeDocument/2006/relationships/hyperlink" Target="https://g0v.hackpad.tw/Code-for-JapanNanto--qIrL0tB5POF" TargetMode="External"/><Relationship Id="rId28" Type="http://schemas.openxmlformats.org/officeDocument/2006/relationships/hyperlink" Target="https://docs.google.com/presentation/d/1fzcl1M43iA_1bqRbY3_r_jgP6OnJwZbrKNUPdkQKbcQ/edit" TargetMode="External"/><Relationship Id="rId27" Type="http://schemas.openxmlformats.org/officeDocument/2006/relationships/hyperlink" Target="https://sense.tw" TargetMode="External"/><Relationship Id="rId29" Type="http://schemas.openxmlformats.org/officeDocument/2006/relationships/hyperlink" Target="http://sense.tw" TargetMode="External"/><Relationship Id="rId51" Type="http://schemas.openxmlformats.org/officeDocument/2006/relationships/hyperlink" Target="https://economicspace.agency/" TargetMode="External"/><Relationship Id="rId50" Type="http://schemas.openxmlformats.org/officeDocument/2006/relationships/hyperlink" Target="https://g0v.hackpad.tw/Code-for-JapanNanto--qIrL0tB5POF" TargetMode="External"/><Relationship Id="rId53" Type="http://schemas.openxmlformats.org/officeDocument/2006/relationships/hyperlink" Target="https://g0v.hackpad.tw/sense.tw-113-sZmzBTW1azj" TargetMode="External"/><Relationship Id="rId52" Type="http://schemas.openxmlformats.org/officeDocument/2006/relationships/hyperlink" Target="http://sense.tw" TargetMode="External"/><Relationship Id="rId11" Type="http://schemas.openxmlformats.org/officeDocument/2006/relationships/hyperlink" Target="https://www.youtube.com/watch?v=v4_E2RjhWoM&amp;list=PLdwQWxpS513AiFu-r4_sNmD8dWoeQWCZx&amp;index=6" TargetMode="External"/><Relationship Id="rId55" Type="http://schemas.openxmlformats.org/officeDocument/2006/relationships/hyperlink" Target="https://g0v.hackpad.tw/Public-Code--MDDEWRPg0uX" TargetMode="External"/><Relationship Id="rId10" Type="http://schemas.openxmlformats.org/officeDocument/2006/relationships/hyperlink" Target="https://amis.moedict.tw" TargetMode="External"/><Relationship Id="rId54" Type="http://schemas.openxmlformats.org/officeDocument/2006/relationships/hyperlink" Target="https://sense.tw" TargetMode="External"/><Relationship Id="rId13" Type="http://schemas.openxmlformats.org/officeDocument/2006/relationships/hyperlink" Target="http://beta.hackfoldr.org/cofacts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docs.google.com/presentation/d/1Ic-lq29Qo3laOCV4FWUHAKoCxNS08TPn_w3FkoGxBKE/edit?usp=sharing" TargetMode="External"/><Relationship Id="rId56" Type="http://schemas.openxmlformats.org/officeDocument/2006/relationships/hyperlink" Target="https://publiccode.asia/zh_tw/" TargetMode="External"/><Relationship Id="rId15" Type="http://schemas.openxmlformats.org/officeDocument/2006/relationships/hyperlink" Target="https://www.youtube.com/watch?v=8AIass_ImOA&amp;index=7&amp;list=PLdwQWxpS513AiFu-r4_sNmD8dWoeQWCZx" TargetMode="External"/><Relationship Id="rId14" Type="http://schemas.openxmlformats.org/officeDocument/2006/relationships/hyperlink" Target="http://cofacts.g0v.tw" TargetMode="External"/><Relationship Id="rId17" Type="http://schemas.openxmlformats.org/officeDocument/2006/relationships/hyperlink" Target="https://g0v.hackpad.tw/The-Space-Hub" TargetMode="External"/><Relationship Id="rId16" Type="http://schemas.openxmlformats.org/officeDocument/2006/relationships/hyperlink" Target="https://docs.google.com/presentation/d/1AScoEKc6J8R3qiNRhXC1POLIBMX-dbgCECgnUxvpeaw/edit" TargetMode="External"/><Relationship Id="rId19" Type="http://schemas.openxmlformats.org/officeDocument/2006/relationships/hyperlink" Target="https://www.facebook.com/events/798602507005190/" TargetMode="External"/><Relationship Id="rId18" Type="http://schemas.openxmlformats.org/officeDocument/2006/relationships/hyperlink" Target="https://docs.google.com/presentation/d/1cg8IMtvAPjhCvvezogPoQgaCTlQwhhoIfzFZCJxxiN0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3.6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21.0"/>
    <col customWidth="1" min="11" max="11" width="26.88"/>
    <col customWidth="1" min="12" max="12" width="15.5"/>
    <col customWidth="1" min="13" max="13" width="18.13"/>
    <col customWidth="1" min="14" max="14" width="34.88"/>
  </cols>
  <sheetData>
    <row r="1" ht="23.25" customHeight="1">
      <c r="A1" s="1"/>
      <c r="L1" s="2"/>
      <c r="M1" s="2"/>
      <c r="N1" s="2"/>
    </row>
    <row r="2" ht="15.0" customHeight="1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ht="15.0" customHeight="1">
      <c r="A3" s="7" t="s">
        <v>14</v>
      </c>
    </row>
    <row r="4" ht="15.0" customHeight="1">
      <c r="A4" s="8"/>
    </row>
    <row r="5" ht="22.5" customHeight="1">
      <c r="A5" s="9">
        <v>1.0</v>
      </c>
      <c r="B5" s="10">
        <v>0.4027777777777778</v>
      </c>
      <c r="C5" s="11" t="s">
        <v>15</v>
      </c>
      <c r="D5" s="12" t="s">
        <v>16</v>
      </c>
      <c r="E5" s="13" t="s">
        <v>17</v>
      </c>
      <c r="F5" s="14" t="s">
        <v>18</v>
      </c>
      <c r="G5" s="12" t="s">
        <v>19</v>
      </c>
      <c r="H5" s="15" t="s">
        <v>20</v>
      </c>
      <c r="I5" s="16"/>
      <c r="J5" s="14" t="s">
        <v>21</v>
      </c>
      <c r="K5" s="14" t="s">
        <v>22</v>
      </c>
      <c r="L5" s="17" t="s">
        <v>23</v>
      </c>
      <c r="M5" s="18"/>
      <c r="N5" s="17" t="s">
        <v>24</v>
      </c>
    </row>
    <row r="6" ht="15.0" customHeight="1">
      <c r="A6" s="9">
        <v>2.0</v>
      </c>
      <c r="B6" s="10">
        <v>0.4048611111111111</v>
      </c>
      <c r="C6" s="11"/>
      <c r="D6" s="14"/>
      <c r="E6" s="13"/>
      <c r="F6" s="14"/>
      <c r="G6" s="12"/>
      <c r="H6" s="19"/>
      <c r="I6" s="19"/>
      <c r="J6" s="20"/>
      <c r="K6" s="21"/>
      <c r="L6" s="20"/>
      <c r="M6" s="22"/>
      <c r="N6" s="23"/>
    </row>
    <row r="7" ht="15.0" customHeight="1">
      <c r="A7" s="9" t="s">
        <v>0</v>
      </c>
      <c r="B7" s="10">
        <v>0.40694444444444444</v>
      </c>
      <c r="C7" s="11" t="s">
        <v>15</v>
      </c>
      <c r="D7" s="12" t="s">
        <v>25</v>
      </c>
      <c r="E7" s="13" t="s">
        <v>17</v>
      </c>
      <c r="F7" s="14" t="s">
        <v>26</v>
      </c>
      <c r="G7" s="12" t="s">
        <v>27</v>
      </c>
      <c r="H7" s="24" t="s">
        <v>28</v>
      </c>
      <c r="I7" s="24" t="s">
        <v>29</v>
      </c>
      <c r="J7" s="12" t="s">
        <v>30</v>
      </c>
      <c r="K7" s="12" t="s">
        <v>31</v>
      </c>
      <c r="L7" s="17" t="s">
        <v>32</v>
      </c>
      <c r="M7" s="18"/>
      <c r="N7" s="14"/>
    </row>
    <row r="8" ht="15.0" customHeight="1">
      <c r="A8" s="9">
        <v>4.0</v>
      </c>
      <c r="B8" s="10">
        <v>0.40902777777777777</v>
      </c>
      <c r="C8" s="11"/>
      <c r="D8" s="12"/>
      <c r="E8" s="13"/>
      <c r="F8" s="14"/>
      <c r="G8" s="14"/>
      <c r="H8" s="25"/>
      <c r="I8" s="14"/>
      <c r="J8" s="12"/>
      <c r="K8" s="12"/>
    </row>
    <row r="9" ht="15.0" customHeight="1">
      <c r="A9" s="9">
        <v>5.0</v>
      </c>
      <c r="B9" s="10">
        <v>0.4111111111111111</v>
      </c>
      <c r="C9" s="11" t="s">
        <v>15</v>
      </c>
      <c r="D9" s="14" t="s">
        <v>33</v>
      </c>
      <c r="E9" s="13" t="s">
        <v>17</v>
      </c>
      <c r="F9" s="14" t="s">
        <v>34</v>
      </c>
      <c r="G9" s="14" t="s">
        <v>35</v>
      </c>
      <c r="H9" s="17" t="s">
        <v>36</v>
      </c>
      <c r="I9" s="14"/>
      <c r="J9" s="14" t="s">
        <v>37</v>
      </c>
      <c r="K9" s="14" t="s">
        <v>38</v>
      </c>
      <c r="L9" s="17" t="s">
        <v>39</v>
      </c>
      <c r="M9" s="18"/>
      <c r="N9" s="14"/>
    </row>
    <row r="10" ht="15.0" customHeight="1">
      <c r="A10" s="9">
        <v>6.0</v>
      </c>
      <c r="B10" s="10">
        <v>0.4131944444444444</v>
      </c>
      <c r="C10" s="11" t="s">
        <v>15</v>
      </c>
      <c r="D10" s="14" t="s">
        <v>40</v>
      </c>
      <c r="E10" s="13" t="s">
        <v>17</v>
      </c>
      <c r="F10" s="14" t="s">
        <v>41</v>
      </c>
      <c r="G10" s="12" t="s">
        <v>19</v>
      </c>
      <c r="H10" s="19" t="s">
        <v>42</v>
      </c>
      <c r="I10" s="19" t="s">
        <v>43</v>
      </c>
      <c r="J10" s="20" t="s">
        <v>44</v>
      </c>
      <c r="K10" s="21" t="s">
        <v>45</v>
      </c>
      <c r="L10" s="26" t="s">
        <v>46</v>
      </c>
      <c r="M10" s="22"/>
      <c r="N10" s="23" t="s">
        <v>47</v>
      </c>
    </row>
    <row r="11" ht="18.0" customHeight="1">
      <c r="A11" s="9">
        <v>7.0</v>
      </c>
      <c r="B11" s="10">
        <v>0.4152777777777778</v>
      </c>
      <c r="C11" s="11" t="s">
        <v>15</v>
      </c>
      <c r="D11" s="12" t="s">
        <v>48</v>
      </c>
      <c r="E11" s="13" t="s">
        <v>17</v>
      </c>
      <c r="F11" s="14" t="s">
        <v>49</v>
      </c>
      <c r="G11" s="20" t="s">
        <v>50</v>
      </c>
      <c r="H11" s="19" t="s">
        <v>51</v>
      </c>
      <c r="I11" s="19" t="s">
        <v>52</v>
      </c>
      <c r="J11" s="20" t="s">
        <v>53</v>
      </c>
      <c r="K11" s="21" t="s">
        <v>54</v>
      </c>
      <c r="L11" s="26" t="s">
        <v>55</v>
      </c>
      <c r="M11" s="22"/>
      <c r="N11" s="23" t="s">
        <v>56</v>
      </c>
    </row>
    <row r="12" ht="15.0" customHeight="1">
      <c r="A12" s="9">
        <v>8.0</v>
      </c>
      <c r="B12" s="10">
        <v>0.4173611111111111</v>
      </c>
      <c r="C12" s="11" t="s">
        <v>15</v>
      </c>
      <c r="D12" s="14" t="s">
        <v>57</v>
      </c>
      <c r="E12" s="13" t="s">
        <v>17</v>
      </c>
      <c r="F12" s="14" t="s">
        <v>58</v>
      </c>
      <c r="G12" s="14" t="s">
        <v>59</v>
      </c>
      <c r="H12" s="24" t="s">
        <v>60</v>
      </c>
      <c r="I12" s="12"/>
      <c r="J12" s="12" t="s">
        <v>61</v>
      </c>
      <c r="K12" s="12" t="s">
        <v>62</v>
      </c>
      <c r="L12" s="14"/>
      <c r="M12" s="18"/>
      <c r="N12" s="17" t="s">
        <v>63</v>
      </c>
    </row>
    <row r="13" ht="15.0" customHeight="1">
      <c r="A13" s="9">
        <v>9.0</v>
      </c>
      <c r="B13" s="10">
        <v>0.41944444444444445</v>
      </c>
      <c r="C13" s="11" t="s">
        <v>15</v>
      </c>
      <c r="D13" s="14" t="s">
        <v>64</v>
      </c>
      <c r="E13" s="13" t="s">
        <v>17</v>
      </c>
      <c r="F13" s="14" t="s">
        <v>65</v>
      </c>
      <c r="G13" s="14" t="s">
        <v>19</v>
      </c>
      <c r="H13" s="17" t="s">
        <v>66</v>
      </c>
      <c r="I13" s="17" t="s">
        <v>67</v>
      </c>
      <c r="J13" s="14"/>
      <c r="K13" s="14"/>
      <c r="L13" s="14"/>
      <c r="M13" s="18"/>
      <c r="N13" s="14"/>
    </row>
    <row r="14" ht="15.0" customHeight="1">
      <c r="A14" s="9">
        <v>10.0</v>
      </c>
      <c r="B14" s="10">
        <v>0.4215277777777778</v>
      </c>
      <c r="C14" s="11" t="s">
        <v>15</v>
      </c>
      <c r="D14" s="12" t="s">
        <v>68</v>
      </c>
      <c r="E14" s="13" t="s">
        <v>17</v>
      </c>
      <c r="F14" s="14" t="s">
        <v>69</v>
      </c>
      <c r="G14" s="14" t="s">
        <v>59</v>
      </c>
      <c r="H14" s="24" t="s">
        <v>70</v>
      </c>
      <c r="I14" s="12"/>
      <c r="J14" s="20" t="s">
        <v>71</v>
      </c>
      <c r="K14" s="21" t="s">
        <v>72</v>
      </c>
      <c r="L14" s="14"/>
      <c r="N14" s="12"/>
    </row>
    <row r="15" ht="15.0" customHeight="1">
      <c r="A15" s="9">
        <v>11.0</v>
      </c>
      <c r="B15" s="10">
        <v>0.4236111111111111</v>
      </c>
      <c r="C15" s="11" t="s">
        <v>15</v>
      </c>
      <c r="D15" s="27" t="s">
        <v>73</v>
      </c>
      <c r="E15" s="13" t="s">
        <v>17</v>
      </c>
      <c r="F15" s="14" t="s">
        <v>74</v>
      </c>
      <c r="G15" s="14" t="s">
        <v>19</v>
      </c>
      <c r="H15" s="17" t="s">
        <v>75</v>
      </c>
      <c r="I15" s="24" t="s">
        <v>76</v>
      </c>
      <c r="J15" s="28" t="s">
        <v>77</v>
      </c>
      <c r="K15" s="28" t="s">
        <v>78</v>
      </c>
      <c r="L15" s="14"/>
      <c r="M15" s="18"/>
      <c r="N15" s="17" t="s">
        <v>79</v>
      </c>
    </row>
    <row r="16" ht="15.0" customHeight="1">
      <c r="A16" s="9">
        <v>12.0</v>
      </c>
      <c r="B16" s="10">
        <v>0.42569444444444443</v>
      </c>
      <c r="C16" s="11" t="s">
        <v>15</v>
      </c>
      <c r="D16" s="29" t="s">
        <v>80</v>
      </c>
      <c r="E16" s="13" t="s">
        <v>17</v>
      </c>
      <c r="F16" s="30" t="s">
        <v>81</v>
      </c>
      <c r="G16" s="14" t="s">
        <v>59</v>
      </c>
      <c r="H16" s="31" t="s">
        <v>82</v>
      </c>
      <c r="I16" s="17" t="s">
        <v>83</v>
      </c>
      <c r="J16" s="14" t="s">
        <v>84</v>
      </c>
      <c r="K16" s="14" t="s">
        <v>85</v>
      </c>
      <c r="L16" s="14"/>
      <c r="M16" s="18"/>
      <c r="N16" s="14"/>
    </row>
    <row r="17" ht="15.0" customHeight="1">
      <c r="A17" s="9">
        <v>13.0</v>
      </c>
      <c r="B17" s="10">
        <v>0.42777777777777776</v>
      </c>
      <c r="C17" s="11" t="s">
        <v>15</v>
      </c>
      <c r="D17" s="29" t="s">
        <v>80</v>
      </c>
      <c r="E17" s="32" t="s">
        <v>17</v>
      </c>
      <c r="F17" s="33" t="s">
        <v>86</v>
      </c>
      <c r="G17" s="12" t="s">
        <v>19</v>
      </c>
      <c r="H17" s="17" t="s">
        <v>87</v>
      </c>
      <c r="I17" s="34" t="s">
        <v>88</v>
      </c>
      <c r="J17" s="14" t="s">
        <v>89</v>
      </c>
      <c r="K17" s="14" t="s">
        <v>90</v>
      </c>
      <c r="L17" s="14"/>
      <c r="M17" s="18"/>
      <c r="N17" s="18"/>
    </row>
    <row r="18" ht="15.0" customHeight="1">
      <c r="A18" s="9">
        <v>14.0</v>
      </c>
      <c r="B18" s="10">
        <v>0.42986111111111114</v>
      </c>
      <c r="C18" s="11" t="s">
        <v>15</v>
      </c>
      <c r="D18" s="17" t="s">
        <v>91</v>
      </c>
      <c r="E18" s="13" t="s">
        <v>92</v>
      </c>
      <c r="F18" s="14" t="s">
        <v>93</v>
      </c>
      <c r="G18" s="14" t="s">
        <v>27</v>
      </c>
      <c r="I18" s="15" t="s">
        <v>94</v>
      </c>
      <c r="J18" s="14" t="s">
        <v>95</v>
      </c>
      <c r="K18" s="14" t="s">
        <v>96</v>
      </c>
      <c r="L18" s="14"/>
      <c r="M18" s="18"/>
      <c r="N18" s="14" t="s">
        <v>97</v>
      </c>
    </row>
    <row r="19" ht="15.0" customHeight="1">
      <c r="A19" s="9">
        <v>15.0</v>
      </c>
      <c r="B19" s="10">
        <v>0.43194444444444446</v>
      </c>
      <c r="C19" s="11" t="s">
        <v>15</v>
      </c>
      <c r="D19" s="14" t="s">
        <v>98</v>
      </c>
      <c r="E19" s="13" t="s">
        <v>17</v>
      </c>
      <c r="F19" s="14" t="s">
        <v>99</v>
      </c>
      <c r="G19" s="35"/>
      <c r="H19" s="17" t="s">
        <v>100</v>
      </c>
      <c r="I19" s="17" t="s">
        <v>101</v>
      </c>
      <c r="J19" s="14"/>
      <c r="K19" s="14" t="s">
        <v>102</v>
      </c>
      <c r="L19" s="14"/>
      <c r="M19" s="18"/>
      <c r="N19" s="18"/>
    </row>
    <row r="20" ht="15.0" customHeight="1">
      <c r="A20" s="14">
        <v>16.0</v>
      </c>
      <c r="B20" s="10">
        <v>0.4340277777777778</v>
      </c>
      <c r="C20" s="11" t="s">
        <v>15</v>
      </c>
      <c r="D20" s="14" t="s">
        <v>103</v>
      </c>
      <c r="E20" s="13" t="s">
        <v>17</v>
      </c>
      <c r="F20" s="14" t="s">
        <v>104</v>
      </c>
      <c r="G20" s="14"/>
      <c r="H20" s="17" t="s">
        <v>105</v>
      </c>
      <c r="I20" s="14"/>
      <c r="J20" s="14" t="s">
        <v>106</v>
      </c>
      <c r="K20" s="14" t="s">
        <v>107</v>
      </c>
      <c r="L20" s="14"/>
      <c r="M20" s="18"/>
      <c r="N20" s="18"/>
    </row>
    <row r="21" ht="15.0" customHeight="1">
      <c r="A21" s="14">
        <v>17.0</v>
      </c>
      <c r="B21" s="10">
        <v>0.4361111111111111</v>
      </c>
      <c r="C21" s="11" t="s">
        <v>15</v>
      </c>
      <c r="D21" s="14" t="s">
        <v>108</v>
      </c>
      <c r="E21" s="13" t="s">
        <v>17</v>
      </c>
      <c r="F21" s="14" t="s">
        <v>109</v>
      </c>
      <c r="G21" s="14"/>
      <c r="H21" s="17" t="s">
        <v>110</v>
      </c>
      <c r="I21" s="17" t="s">
        <v>111</v>
      </c>
      <c r="J21" s="14" t="s">
        <v>112</v>
      </c>
      <c r="K21" s="14" t="s">
        <v>113</v>
      </c>
      <c r="L21" s="14"/>
      <c r="M21" s="18"/>
      <c r="N21" s="18"/>
    </row>
    <row r="22" ht="15.0" customHeight="1">
      <c r="A22" s="14">
        <v>18.0</v>
      </c>
      <c r="B22" s="10">
        <v>0.43819444444444444</v>
      </c>
      <c r="C22" s="11" t="s">
        <v>15</v>
      </c>
      <c r="D22" s="14" t="s">
        <v>114</v>
      </c>
      <c r="E22" s="13"/>
      <c r="F22" s="14" t="s">
        <v>115</v>
      </c>
      <c r="G22" s="14"/>
      <c r="H22" s="14"/>
      <c r="I22" s="14"/>
      <c r="J22" s="14"/>
      <c r="K22" s="14"/>
      <c r="L22" s="14"/>
      <c r="M22" s="18"/>
      <c r="N22" s="18"/>
    </row>
    <row r="23" ht="15.0" customHeight="1">
      <c r="A23" s="14">
        <v>19.0</v>
      </c>
      <c r="B23" s="10"/>
      <c r="C23" s="11"/>
      <c r="D23" s="14"/>
      <c r="E23" s="13"/>
      <c r="F23" s="14" t="s">
        <v>116</v>
      </c>
      <c r="G23" s="14"/>
      <c r="H23" s="14"/>
      <c r="I23" s="17" t="s">
        <v>117</v>
      </c>
      <c r="J23" s="14" t="s">
        <v>118</v>
      </c>
      <c r="K23" s="14" t="s">
        <v>119</v>
      </c>
      <c r="L23" s="14"/>
      <c r="M23" s="18"/>
      <c r="N23" s="18"/>
    </row>
    <row r="24" ht="15.0" customHeight="1">
      <c r="A24" s="14"/>
      <c r="B24" s="10"/>
      <c r="C24" s="11"/>
      <c r="D24" s="36" t="s">
        <v>120</v>
      </c>
      <c r="E24" s="13"/>
      <c r="F24" s="14"/>
      <c r="G24" s="14"/>
      <c r="H24" s="14"/>
      <c r="I24" s="14"/>
      <c r="J24" s="14"/>
      <c r="K24" s="14"/>
      <c r="L24" s="14"/>
      <c r="M24" s="18"/>
      <c r="N24" s="18"/>
    </row>
    <row r="25" ht="15.0" customHeight="1">
      <c r="A25" s="7" t="s">
        <v>121</v>
      </c>
    </row>
    <row r="26" ht="15.0" customHeight="1">
      <c r="A26" s="4" t="s">
        <v>122</v>
      </c>
      <c r="B26" s="4" t="s">
        <v>123</v>
      </c>
      <c r="C26" s="3" t="s">
        <v>2</v>
      </c>
      <c r="D26" s="4" t="s">
        <v>3</v>
      </c>
      <c r="E26" s="6" t="s">
        <v>124</v>
      </c>
      <c r="F26" s="4" t="s">
        <v>5</v>
      </c>
      <c r="G26" s="37"/>
      <c r="H26" s="4"/>
      <c r="I26" s="4" t="s">
        <v>125</v>
      </c>
      <c r="J26" s="4" t="s">
        <v>126</v>
      </c>
      <c r="K26" s="4" t="s">
        <v>127</v>
      </c>
      <c r="L26" s="37"/>
      <c r="M26" s="37"/>
      <c r="N26" s="37"/>
    </row>
    <row r="27" ht="15.0" customHeight="1">
      <c r="A27" s="38">
        <v>1.0</v>
      </c>
      <c r="B27" s="10">
        <v>0.6041666666666666</v>
      </c>
      <c r="C27" s="11"/>
      <c r="D27" s="14" t="s">
        <v>114</v>
      </c>
      <c r="E27" s="13"/>
      <c r="F27" s="12" t="s">
        <v>128</v>
      </c>
      <c r="G27" s="14"/>
      <c r="H27" s="39" t="str">
        <f>HYPERLINK("https://1drv.ms/b/s!AtUyoLIsZvcjgaJcvPJs2y4LbqTJXw","簡報")</f>
        <v>簡報</v>
      </c>
      <c r="I27" s="27"/>
      <c r="J27" s="12"/>
      <c r="K27" s="14"/>
      <c r="L27" s="27"/>
      <c r="M27" s="40"/>
      <c r="N27" s="40"/>
    </row>
    <row r="28" ht="15.0" customHeight="1">
      <c r="A28" s="38">
        <v>2.0</v>
      </c>
      <c r="B28" s="10">
        <v>0.6111111111111112</v>
      </c>
      <c r="C28" s="11"/>
      <c r="D28" s="27" t="s">
        <v>129</v>
      </c>
      <c r="E28" s="13"/>
      <c r="F28" s="27" t="s">
        <v>130</v>
      </c>
      <c r="G28" s="14"/>
      <c r="H28" s="27"/>
      <c r="J28" s="27"/>
      <c r="K28" s="14"/>
      <c r="L28" s="27"/>
      <c r="M28" s="40"/>
      <c r="N28" s="27"/>
    </row>
    <row r="29" ht="15.0" customHeight="1">
      <c r="A29" s="38">
        <v>3.0</v>
      </c>
      <c r="B29" s="10">
        <v>0.6180555555555556</v>
      </c>
      <c r="C29" s="11"/>
      <c r="D29" s="14" t="s">
        <v>131</v>
      </c>
      <c r="E29" s="13" t="s">
        <v>17</v>
      </c>
      <c r="F29" s="14" t="s">
        <v>132</v>
      </c>
      <c r="G29" s="14"/>
      <c r="H29" s="41" t="s">
        <v>133</v>
      </c>
      <c r="I29" s="42"/>
      <c r="J29" s="12" t="s">
        <v>134</v>
      </c>
      <c r="K29" s="12" t="s">
        <v>135</v>
      </c>
      <c r="L29" s="12"/>
      <c r="N29" s="43"/>
    </row>
    <row r="30" ht="15.0" customHeight="1">
      <c r="A30" s="14">
        <v>4.0</v>
      </c>
      <c r="B30" s="44">
        <v>0.625</v>
      </c>
      <c r="C30" s="45"/>
      <c r="D30" s="46" t="s">
        <v>136</v>
      </c>
      <c r="E30" s="13" t="s">
        <v>17</v>
      </c>
      <c r="F30" s="14" t="s">
        <v>137</v>
      </c>
      <c r="G30" s="47" t="str">
        <f>HYPERLINK("https://elggem.github.io/conferences/2018/01/08/34c3.html","Selected Talks from Ralf")</f>
        <v>Selected Talks from Ralf</v>
      </c>
      <c r="H30" s="48" t="str">
        <f>HYPERLINK("https://docs.google.com/presentation/d/1WyH6_ULT88plgQPHzL4-XzuzLQGce_8t1EI2uyS3x5o/edit?usp=sharing","Slides(with photos link)")</f>
        <v>Slides(with photos link)</v>
      </c>
      <c r="I30" s="41" t="str">
        <f>HYPERLINK("https://events.ccc.de/congress/2017/wiki/index.php/Main_Page","Wiki")</f>
        <v>Wiki</v>
      </c>
      <c r="J30" s="14" t="s">
        <v>138</v>
      </c>
      <c r="K30" s="18"/>
      <c r="L30" s="14"/>
      <c r="M30" s="18"/>
      <c r="N30" s="18"/>
    </row>
    <row r="31" ht="15.0" customHeight="1">
      <c r="A31" s="14">
        <v>5.0</v>
      </c>
      <c r="B31" s="44">
        <v>0.6319444444444444</v>
      </c>
      <c r="D31" s="12" t="s">
        <v>139</v>
      </c>
      <c r="E31" s="13" t="s">
        <v>17</v>
      </c>
      <c r="F31" s="14" t="s">
        <v>140</v>
      </c>
      <c r="G31" s="18"/>
      <c r="H31" s="17" t="s">
        <v>141</v>
      </c>
      <c r="I31" s="18"/>
      <c r="J31" s="18"/>
      <c r="K31" s="14" t="s">
        <v>142</v>
      </c>
      <c r="L31" s="14"/>
      <c r="M31" s="18"/>
      <c r="N31" s="17" t="s">
        <v>143</v>
      </c>
    </row>
    <row r="32" ht="15.0" customHeight="1">
      <c r="A32" s="18"/>
      <c r="E32" s="45"/>
      <c r="F32" s="14"/>
      <c r="G32" s="18"/>
      <c r="H32" s="18"/>
      <c r="I32" s="18"/>
      <c r="J32" s="18"/>
      <c r="K32" s="18"/>
      <c r="L32" s="14"/>
      <c r="M32" s="18"/>
      <c r="N32" s="18"/>
    </row>
    <row r="33" ht="15.0" customHeight="1">
      <c r="A33" s="49"/>
      <c r="B33" s="50" t="s">
        <v>144</v>
      </c>
      <c r="C33" s="51"/>
      <c r="D33" s="52" t="s">
        <v>120</v>
      </c>
      <c r="E33" s="51"/>
      <c r="F33" s="53"/>
      <c r="G33" s="49"/>
      <c r="H33" s="49"/>
      <c r="I33" s="49"/>
      <c r="J33" s="49"/>
      <c r="K33" s="49"/>
      <c r="L33" s="53"/>
      <c r="M33" s="49"/>
      <c r="N33" s="49"/>
    </row>
    <row r="34" ht="15.0" customHeight="1">
      <c r="A34" s="49"/>
      <c r="B34" s="54"/>
      <c r="C34" s="51"/>
      <c r="D34" s="55"/>
      <c r="E34" s="51"/>
      <c r="F34" s="49"/>
      <c r="G34" s="49"/>
      <c r="H34" s="49"/>
      <c r="I34" s="49"/>
      <c r="J34" s="49"/>
      <c r="K34" s="49"/>
      <c r="L34" s="49"/>
      <c r="M34" s="49"/>
      <c r="N34" s="49"/>
    </row>
    <row r="35" ht="15.0" customHeight="1">
      <c r="A35" s="18"/>
      <c r="B35" s="45"/>
      <c r="C35" s="45"/>
      <c r="D35" s="18"/>
      <c r="E35" s="56"/>
      <c r="F35" s="18"/>
      <c r="G35" s="18"/>
      <c r="H35" s="18"/>
      <c r="I35" s="18"/>
      <c r="J35" s="18"/>
      <c r="K35" s="18"/>
      <c r="L35" s="18"/>
      <c r="M35" s="18"/>
      <c r="N35" s="18"/>
    </row>
    <row r="36" ht="15.0" customHeight="1">
      <c r="A36" s="18"/>
      <c r="B36" s="45"/>
      <c r="C36" s="45"/>
      <c r="E36" s="56"/>
      <c r="F36" s="18"/>
      <c r="G36" s="18"/>
      <c r="H36" s="18"/>
      <c r="I36" s="18"/>
      <c r="J36" s="18"/>
      <c r="K36" s="18"/>
      <c r="L36" s="18"/>
      <c r="M36" s="18"/>
      <c r="N36" s="18"/>
    </row>
    <row r="37" ht="15.0" customHeight="1">
      <c r="A37" s="18"/>
      <c r="B37" s="45"/>
      <c r="C37" s="45"/>
      <c r="D37" s="18"/>
      <c r="E37" s="56"/>
      <c r="F37" s="18"/>
      <c r="G37" s="18"/>
      <c r="H37" s="18"/>
      <c r="I37" s="18"/>
      <c r="J37" s="18"/>
      <c r="K37" s="18"/>
      <c r="L37" s="18"/>
      <c r="M37" s="18"/>
      <c r="N37" s="18"/>
    </row>
    <row r="38" ht="15.0" customHeight="1">
      <c r="A38" s="18"/>
      <c r="B38" s="45"/>
      <c r="C38" s="45"/>
      <c r="D38" s="18"/>
      <c r="E38" s="56"/>
      <c r="F38" s="18"/>
      <c r="G38" s="18"/>
      <c r="H38" s="18"/>
      <c r="I38" s="18"/>
      <c r="J38" s="18"/>
      <c r="K38" s="18"/>
      <c r="L38" s="18"/>
      <c r="M38" s="18"/>
      <c r="N38" s="18"/>
    </row>
    <row r="39" ht="15.0" customHeight="1">
      <c r="A39" s="7" t="s">
        <v>145</v>
      </c>
    </row>
    <row r="40" ht="15.0" customHeight="1">
      <c r="A40" s="57">
        <v>1.0</v>
      </c>
      <c r="B40" s="58">
        <v>0.7083333333333334</v>
      </c>
      <c r="C40" s="11"/>
      <c r="D40" s="12" t="s">
        <v>16</v>
      </c>
      <c r="E40" s="13" t="s">
        <v>17</v>
      </c>
      <c r="F40" s="12" t="s">
        <v>146</v>
      </c>
      <c r="G40" s="12" t="s">
        <v>27</v>
      </c>
      <c r="H40" s="12"/>
      <c r="I40" s="41" t="s">
        <v>147</v>
      </c>
      <c r="J40" s="14" t="s">
        <v>118</v>
      </c>
      <c r="K40" s="14" t="s">
        <v>148</v>
      </c>
      <c r="L40" s="14"/>
      <c r="M40" s="14"/>
      <c r="N40" s="14"/>
    </row>
    <row r="41" ht="15.0" customHeight="1">
      <c r="A41" s="57">
        <v>2.0</v>
      </c>
      <c r="B41" s="59" t="s">
        <v>149</v>
      </c>
      <c r="C41" s="11"/>
      <c r="D41" s="14" t="s">
        <v>150</v>
      </c>
      <c r="E41" s="13" t="s">
        <v>17</v>
      </c>
      <c r="F41" s="14" t="s">
        <v>151</v>
      </c>
      <c r="G41" s="12" t="s">
        <v>27</v>
      </c>
      <c r="H41" s="14"/>
      <c r="I41" s="60" t="s">
        <v>152</v>
      </c>
      <c r="J41" s="14"/>
      <c r="K41" s="14" t="s">
        <v>153</v>
      </c>
      <c r="L41" s="14"/>
      <c r="M41" s="18"/>
      <c r="N41" s="14"/>
    </row>
    <row r="42" ht="15.0" customHeight="1">
      <c r="A42" s="57">
        <v>3.0</v>
      </c>
      <c r="B42" s="59" t="s">
        <v>154</v>
      </c>
      <c r="C42" s="11"/>
      <c r="D42" s="12"/>
      <c r="E42" s="13"/>
      <c r="F42" s="12"/>
      <c r="G42" s="14"/>
      <c r="H42" s="12"/>
      <c r="I42" s="61"/>
      <c r="J42" s="14"/>
      <c r="K42" s="14"/>
      <c r="L42" s="14"/>
      <c r="M42" s="18"/>
      <c r="N42" s="18"/>
    </row>
    <row r="43" ht="15.0" customHeight="1">
      <c r="A43" s="57">
        <v>4.0</v>
      </c>
      <c r="B43" s="59" t="s">
        <v>155</v>
      </c>
      <c r="C43" s="11"/>
      <c r="D43" s="12" t="s">
        <v>68</v>
      </c>
      <c r="E43" s="13"/>
      <c r="F43" s="14" t="s">
        <v>69</v>
      </c>
      <c r="H43" s="24" t="s">
        <v>70</v>
      </c>
      <c r="I43" s="12"/>
      <c r="J43" s="14"/>
      <c r="K43" s="14"/>
      <c r="L43" s="14"/>
      <c r="M43" s="14"/>
      <c r="N43" s="14"/>
    </row>
    <row r="44" ht="15.0" customHeight="1">
      <c r="A44" s="57">
        <v>5.0</v>
      </c>
      <c r="B44" s="59" t="s">
        <v>156</v>
      </c>
      <c r="C44" s="11"/>
      <c r="D44" s="14" t="s">
        <v>157</v>
      </c>
      <c r="E44" s="13" t="s">
        <v>17</v>
      </c>
      <c r="F44" s="29" t="s">
        <v>158</v>
      </c>
      <c r="G44" s="14" t="s">
        <v>27</v>
      </c>
      <c r="H44" s="62"/>
      <c r="I44" s="17" t="s">
        <v>159</v>
      </c>
      <c r="J44" s="14"/>
      <c r="K44" s="18"/>
      <c r="L44" s="14"/>
      <c r="M44" s="14"/>
      <c r="N44" s="14"/>
    </row>
    <row r="45" ht="15.0" customHeight="1">
      <c r="A45" s="57">
        <v>6.0</v>
      </c>
      <c r="B45" s="59" t="s">
        <v>160</v>
      </c>
      <c r="C45" s="11"/>
      <c r="D45" s="12" t="s">
        <v>108</v>
      </c>
      <c r="E45" s="13" t="s">
        <v>17</v>
      </c>
      <c r="F45" s="14" t="s">
        <v>109</v>
      </c>
      <c r="G45" s="12"/>
      <c r="H45" s="24" t="s">
        <v>161</v>
      </c>
      <c r="I45" s="24" t="s">
        <v>162</v>
      </c>
      <c r="J45" s="12"/>
      <c r="K45" s="12"/>
      <c r="L45" s="14"/>
      <c r="M45" s="18"/>
      <c r="N45" s="18"/>
    </row>
    <row r="46" ht="15.0" customHeight="1">
      <c r="A46" s="57">
        <v>7.0</v>
      </c>
      <c r="B46" s="59" t="s">
        <v>163</v>
      </c>
      <c r="C46" s="11"/>
      <c r="D46" s="14" t="s">
        <v>25</v>
      </c>
      <c r="E46" s="13" t="s">
        <v>17</v>
      </c>
      <c r="F46" s="14" t="s">
        <v>164</v>
      </c>
      <c r="G46" s="14" t="s">
        <v>27</v>
      </c>
      <c r="H46" s="14"/>
      <c r="I46" s="17" t="s">
        <v>165</v>
      </c>
      <c r="J46" s="28"/>
      <c r="K46" s="28"/>
      <c r="L46" s="14"/>
      <c r="M46" s="18"/>
      <c r="N46" s="18"/>
    </row>
    <row r="47" ht="15.0" customHeight="1">
      <c r="A47" s="57">
        <v>8.0</v>
      </c>
      <c r="B47" s="59" t="s">
        <v>166</v>
      </c>
      <c r="C47" s="11"/>
      <c r="D47" s="12" t="s">
        <v>167</v>
      </c>
      <c r="E47" s="13" t="s">
        <v>17</v>
      </c>
      <c r="F47" s="14" t="s">
        <v>34</v>
      </c>
      <c r="G47" s="14" t="s">
        <v>168</v>
      </c>
      <c r="H47" s="14"/>
      <c r="I47" s="14"/>
      <c r="J47" s="14"/>
      <c r="K47" s="14"/>
      <c r="L47" s="14"/>
      <c r="M47" s="18"/>
      <c r="N47" s="18"/>
    </row>
    <row r="48" ht="15.0" customHeight="1">
      <c r="A48" s="57">
        <v>9.0</v>
      </c>
      <c r="B48" s="59" t="s">
        <v>169</v>
      </c>
      <c r="C48" s="11"/>
      <c r="D48" s="14" t="s">
        <v>170</v>
      </c>
      <c r="E48" s="13" t="s">
        <v>17</v>
      </c>
      <c r="F48" s="14" t="s">
        <v>41</v>
      </c>
      <c r="G48" s="14" t="s">
        <v>27</v>
      </c>
      <c r="H48" s="14"/>
      <c r="I48" s="17" t="s">
        <v>171</v>
      </c>
      <c r="J48" s="21" t="s">
        <v>172</v>
      </c>
      <c r="K48" s="14" t="s">
        <v>173</v>
      </c>
      <c r="L48" s="14"/>
      <c r="M48" s="18"/>
      <c r="N48" s="14"/>
    </row>
    <row r="49" ht="15.0" customHeight="1">
      <c r="A49" s="57">
        <v>10.0</v>
      </c>
      <c r="B49" s="59" t="s">
        <v>174</v>
      </c>
      <c r="C49" s="11"/>
      <c r="D49" s="14" t="s">
        <v>175</v>
      </c>
      <c r="E49" s="13" t="s">
        <v>17</v>
      </c>
      <c r="F49" s="14" t="s">
        <v>176</v>
      </c>
      <c r="G49" s="14" t="s">
        <v>27</v>
      </c>
      <c r="H49" s="24" t="s">
        <v>177</v>
      </c>
      <c r="I49" s="63" t="s">
        <v>178</v>
      </c>
      <c r="J49" s="18"/>
      <c r="K49" s="18"/>
      <c r="L49" s="18"/>
      <c r="M49" s="18"/>
      <c r="N49" s="18"/>
    </row>
    <row r="50" ht="15.0" customHeight="1">
      <c r="A50" s="57">
        <v>11.0</v>
      </c>
      <c r="B50" s="59" t="s">
        <v>179</v>
      </c>
      <c r="C50" s="11"/>
      <c r="D50" s="14" t="s">
        <v>180</v>
      </c>
      <c r="E50" s="13" t="s">
        <v>17</v>
      </c>
      <c r="F50" s="30" t="s">
        <v>81</v>
      </c>
      <c r="G50" s="14" t="s">
        <v>59</v>
      </c>
      <c r="H50" s="31" t="s">
        <v>82</v>
      </c>
      <c r="I50" s="14" t="s">
        <v>181</v>
      </c>
      <c r="J50" s="14" t="s">
        <v>84</v>
      </c>
      <c r="K50" s="14" t="s">
        <v>85</v>
      </c>
      <c r="L50" s="14"/>
      <c r="M50" s="14"/>
      <c r="N50" s="18"/>
    </row>
    <row r="51" ht="15.0" customHeight="1">
      <c r="A51" s="57">
        <v>12.0</v>
      </c>
      <c r="B51" s="59" t="s">
        <v>182</v>
      </c>
      <c r="C51" s="11"/>
      <c r="D51" s="14" t="s">
        <v>183</v>
      </c>
      <c r="E51" s="13"/>
      <c r="F51" s="9" t="s">
        <v>184</v>
      </c>
      <c r="G51" s="12"/>
      <c r="H51" s="31" t="s">
        <v>185</v>
      </c>
      <c r="I51" s="64" t="s">
        <v>186</v>
      </c>
      <c r="J51" s="14" t="s">
        <v>187</v>
      </c>
      <c r="K51" s="14"/>
      <c r="L51" s="14"/>
      <c r="M51" s="14"/>
      <c r="N51" s="18"/>
    </row>
    <row r="52" ht="15.0" customHeight="1">
      <c r="A52" s="57">
        <v>13.0</v>
      </c>
      <c r="B52" s="59" t="s">
        <v>188</v>
      </c>
      <c r="C52" s="45"/>
      <c r="D52" s="14" t="s">
        <v>189</v>
      </c>
      <c r="E52" s="13" t="s">
        <v>92</v>
      </c>
      <c r="F52" s="17" t="s">
        <v>91</v>
      </c>
      <c r="G52" s="65" t="s">
        <v>27</v>
      </c>
      <c r="H52" s="24" t="s">
        <v>190</v>
      </c>
      <c r="I52" s="24" t="s">
        <v>87</v>
      </c>
      <c r="J52" s="14" t="s">
        <v>191</v>
      </c>
      <c r="K52" s="14" t="s">
        <v>192</v>
      </c>
      <c r="L52" s="14"/>
      <c r="M52" s="18"/>
      <c r="N52" s="18"/>
    </row>
    <row r="53" ht="15.0" customHeight="1">
      <c r="A53" s="66">
        <v>14.0</v>
      </c>
      <c r="B53" s="67">
        <v>0.7534722222222222</v>
      </c>
      <c r="C53" s="68"/>
      <c r="D53" s="66" t="s">
        <v>193</v>
      </c>
      <c r="E53" s="69"/>
      <c r="F53" s="70" t="s">
        <v>194</v>
      </c>
      <c r="G53" s="66" t="s">
        <v>59</v>
      </c>
      <c r="H53" s="71" t="s">
        <v>195</v>
      </c>
      <c r="I53" s="71" t="s">
        <v>196</v>
      </c>
      <c r="J53" s="66" t="s">
        <v>197</v>
      </c>
      <c r="K53" s="69"/>
      <c r="L53" s="69"/>
      <c r="M53" s="69"/>
      <c r="N53" s="69"/>
    </row>
    <row r="54" ht="15.0" customHeight="1">
      <c r="A54" s="69"/>
      <c r="B54" s="68"/>
      <c r="C54" s="68"/>
      <c r="D54" s="66"/>
      <c r="E54" s="69"/>
      <c r="F54" s="69"/>
      <c r="G54" s="69"/>
      <c r="H54" s="69"/>
      <c r="I54" s="69"/>
      <c r="J54" s="69"/>
      <c r="K54" s="69"/>
      <c r="L54" s="69"/>
      <c r="M54" s="69"/>
      <c r="N54" s="69"/>
    </row>
  </sheetData>
  <mergeCells count="5">
    <mergeCell ref="A1:K1"/>
    <mergeCell ref="A3:N3"/>
    <mergeCell ref="A4:N4"/>
    <mergeCell ref="A25:N25"/>
    <mergeCell ref="A39:N39"/>
  </mergeCells>
  <hyperlinks>
    <hyperlink r:id="rId1" ref="H5"/>
    <hyperlink r:id="rId2" ref="L5"/>
    <hyperlink r:id="rId3" ref="N5"/>
    <hyperlink r:id="rId4" ref="H7"/>
    <hyperlink r:id="rId5" ref="I7"/>
    <hyperlink r:id="rId6" ref="L7"/>
    <hyperlink r:id="rId7" ref="H9"/>
    <hyperlink r:id="rId8" ref="L9"/>
    <hyperlink r:id="rId9" ref="H10"/>
    <hyperlink r:id="rId10" ref="I10"/>
    <hyperlink r:id="rId11" ref="L10"/>
    <hyperlink r:id="rId12" ref="N10"/>
    <hyperlink r:id="rId13" ref="H11"/>
    <hyperlink r:id="rId14" ref="I11"/>
    <hyperlink r:id="rId15" ref="L11"/>
    <hyperlink r:id="rId16" location="slide=id.p" ref="N11"/>
    <hyperlink r:id="rId17" ref="H12"/>
    <hyperlink r:id="rId18" ref="N12"/>
    <hyperlink r:id="rId19" ref="H13"/>
    <hyperlink r:id="rId20" ref="I13"/>
    <hyperlink r:id="rId21" ref="H14"/>
    <hyperlink r:id="rId22" ref="H15"/>
    <hyperlink r:id="rId23" ref="I15"/>
    <hyperlink r:id="rId24" ref="N15"/>
    <hyperlink r:id="rId25" ref="H16"/>
    <hyperlink r:id="rId26" ref="I16"/>
    <hyperlink r:id="rId27" ref="H17"/>
    <hyperlink r:id="rId28" location="slide=id.p" ref="I17"/>
    <hyperlink r:id="rId29" ref="D18"/>
    <hyperlink r:id="rId30" location="slide=id.g2f95f3a2fb_0_10" ref="I18"/>
    <hyperlink r:id="rId31" ref="H19"/>
    <hyperlink r:id="rId32" ref="I19"/>
    <hyperlink r:id="rId33" ref="H20"/>
    <hyperlink r:id="rId34" ref="H21"/>
    <hyperlink r:id="rId35" ref="I21"/>
    <hyperlink r:id="rId36" ref="I23"/>
    <hyperlink r:id="rId37" ref="H29"/>
    <hyperlink r:id="rId38" ref="H31"/>
    <hyperlink r:id="rId39" ref="N31"/>
    <hyperlink r:id="rId40" ref="I40"/>
    <hyperlink r:id="rId41" ref="I41"/>
    <hyperlink r:id="rId42" ref="H43"/>
    <hyperlink r:id="rId43" ref="I44"/>
    <hyperlink r:id="rId44" location="1-%E5%B8%82%E8%AD%B0%E5%93%A1%E6%9C%83%E7%94%A8%E5%93%AA%E4%BA%9B%E6%96%B9%E5%BC%8F%E7%8D%B2%E5%BE%97%E6%B0%91%E6%84%8F-%EF%BC%9F" ref="H45"/>
    <hyperlink r:id="rId45" ref="I45"/>
    <hyperlink r:id="rId46" ref="I46"/>
    <hyperlink r:id="rId47" location="slide=id.g2ed785607d_0_19" ref="I48"/>
    <hyperlink r:id="rId48" ref="H49"/>
    <hyperlink r:id="rId49" ref="I49"/>
    <hyperlink r:id="rId50" ref="H50"/>
    <hyperlink r:id="rId51" ref="H51"/>
    <hyperlink r:id="rId52" ref="F52"/>
    <hyperlink r:id="rId53" ref="H52"/>
    <hyperlink r:id="rId54" ref="I52"/>
    <hyperlink r:id="rId55" ref="H53"/>
    <hyperlink r:id="rId56" ref="I53"/>
  </hyperlinks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72" t="s">
        <v>198</v>
      </c>
      <c r="L1" s="73">
        <v>101.0</v>
      </c>
      <c r="S1" s="74">
        <v>108.0</v>
      </c>
    </row>
    <row r="2" ht="39.0" customHeight="1">
      <c r="A2" s="45"/>
      <c r="B2" s="75" t="s">
        <v>199</v>
      </c>
      <c r="C2" s="76"/>
      <c r="D2" s="76"/>
      <c r="E2" s="76"/>
      <c r="F2" s="76"/>
      <c r="G2" s="77"/>
      <c r="H2" s="45"/>
      <c r="I2" s="45"/>
      <c r="J2" s="45"/>
      <c r="K2" s="45"/>
      <c r="L2" s="78" t="s">
        <v>200</v>
      </c>
      <c r="M2" s="76"/>
      <c r="N2" s="76"/>
      <c r="O2" s="76"/>
      <c r="P2" s="76"/>
      <c r="Q2" s="45"/>
      <c r="R2" s="45"/>
      <c r="S2" s="72" t="s">
        <v>201</v>
      </c>
      <c r="T2" s="45"/>
      <c r="U2" s="72" t="s">
        <v>200</v>
      </c>
      <c r="X2" s="45"/>
    </row>
    <row r="3" ht="39.0" customHeight="1">
      <c r="A3" s="79"/>
      <c r="C3" s="12"/>
      <c r="D3" s="80"/>
      <c r="E3" s="81"/>
      <c r="F3" s="81"/>
      <c r="G3" s="82"/>
      <c r="H3" s="45"/>
      <c r="I3" s="45"/>
      <c r="J3" s="45"/>
      <c r="K3" s="79"/>
      <c r="L3" s="81"/>
      <c r="M3" s="80"/>
      <c r="O3" s="80"/>
      <c r="P3" s="81"/>
      <c r="Q3" s="83"/>
      <c r="R3" s="45"/>
      <c r="S3" s="81"/>
      <c r="T3" s="81"/>
      <c r="U3" s="81"/>
      <c r="V3" s="81"/>
      <c r="W3" s="81"/>
      <c r="X3" s="45"/>
    </row>
    <row r="4" ht="39.0" customHeight="1">
      <c r="A4" s="79"/>
      <c r="B4" s="81"/>
      <c r="C4" s="80"/>
      <c r="D4" s="81"/>
      <c r="E4" s="14"/>
      <c r="F4" s="81"/>
      <c r="G4" s="84" t="s">
        <v>202</v>
      </c>
      <c r="H4" s="45"/>
      <c r="I4" s="45"/>
      <c r="J4" s="45"/>
      <c r="K4" s="79"/>
      <c r="L4" s="80"/>
      <c r="M4" s="81"/>
      <c r="N4" s="14"/>
      <c r="O4" s="85"/>
      <c r="P4" s="81"/>
      <c r="Q4" s="83"/>
      <c r="R4" s="45"/>
      <c r="S4" s="80" t="s">
        <v>203</v>
      </c>
      <c r="T4" s="81"/>
      <c r="U4" s="80"/>
      <c r="V4" s="85"/>
      <c r="W4" s="80"/>
      <c r="X4" s="45"/>
    </row>
    <row r="5" ht="39.0" customHeight="1">
      <c r="A5" s="79"/>
      <c r="B5" s="81"/>
      <c r="C5" s="81"/>
      <c r="D5" s="80"/>
      <c r="E5" s="81"/>
      <c r="F5" s="81"/>
      <c r="G5" s="81"/>
      <c r="H5" s="45"/>
      <c r="I5" s="45"/>
      <c r="J5" s="45"/>
      <c r="K5" s="79"/>
      <c r="L5" s="81"/>
      <c r="M5" s="81"/>
      <c r="N5" s="80"/>
      <c r="O5" s="81"/>
      <c r="P5" s="80"/>
      <c r="Q5" s="83"/>
      <c r="R5" s="45"/>
      <c r="S5" s="80"/>
      <c r="T5" s="81"/>
      <c r="U5" s="80"/>
      <c r="V5" s="81"/>
      <c r="W5" s="81"/>
      <c r="X5" s="45"/>
    </row>
    <row r="6" ht="39.0" customHeight="1">
      <c r="A6" s="79"/>
      <c r="B6" s="81"/>
      <c r="C6" s="81"/>
      <c r="D6" s="81"/>
      <c r="E6" s="85"/>
      <c r="F6" s="81"/>
      <c r="G6" s="82"/>
      <c r="H6" s="45"/>
      <c r="I6" s="45"/>
      <c r="J6" s="45"/>
      <c r="K6" s="79"/>
      <c r="L6" s="81"/>
      <c r="M6" s="81"/>
      <c r="N6" s="80"/>
      <c r="O6" s="81"/>
      <c r="P6" s="81"/>
      <c r="Q6" s="83"/>
      <c r="R6" s="45"/>
      <c r="S6" s="80"/>
      <c r="T6" s="81"/>
      <c r="U6" s="80"/>
      <c r="W6" s="81"/>
      <c r="X6" s="45"/>
    </row>
    <row r="7" ht="39.0" customHeight="1">
      <c r="A7" s="79"/>
      <c r="B7" s="81"/>
      <c r="C7" s="86"/>
      <c r="D7" s="81"/>
      <c r="E7" s="81"/>
      <c r="F7" s="81"/>
      <c r="G7" s="84" t="s">
        <v>201</v>
      </c>
      <c r="H7" s="45"/>
      <c r="I7" s="45"/>
      <c r="J7" s="45"/>
      <c r="K7" s="79"/>
      <c r="L7" s="81"/>
      <c r="M7" s="80"/>
      <c r="N7" s="80"/>
      <c r="O7" s="80"/>
      <c r="P7" s="81"/>
      <c r="Q7" s="83"/>
      <c r="R7" s="45"/>
      <c r="S7" s="80"/>
      <c r="T7" s="81"/>
      <c r="U7" s="80"/>
      <c r="V7" s="81"/>
      <c r="W7" s="81"/>
      <c r="X7" s="45"/>
    </row>
    <row r="8" ht="39.0" customHeight="1">
      <c r="A8" s="79"/>
      <c r="B8" s="81"/>
      <c r="C8" s="87"/>
      <c r="D8" s="81"/>
      <c r="E8" s="81"/>
      <c r="F8" s="81"/>
      <c r="G8" s="81"/>
      <c r="H8" s="12"/>
      <c r="I8" s="12"/>
      <c r="J8" s="12"/>
      <c r="K8" s="88" t="s">
        <v>201</v>
      </c>
      <c r="L8" s="81"/>
      <c r="M8" s="81"/>
      <c r="N8" s="80"/>
      <c r="O8" s="89"/>
      <c r="P8" s="81"/>
      <c r="Q8" s="83"/>
      <c r="R8" s="45"/>
      <c r="S8" s="80"/>
      <c r="T8" s="81"/>
      <c r="U8" s="85"/>
      <c r="V8" s="81"/>
      <c r="W8" s="81"/>
      <c r="X8" s="45"/>
    </row>
    <row r="9" ht="39.0" customHeight="1">
      <c r="A9" s="79"/>
      <c r="B9" s="81"/>
      <c r="C9" s="81"/>
      <c r="D9" s="81"/>
      <c r="E9" s="81"/>
      <c r="F9" s="81"/>
      <c r="G9" s="81"/>
      <c r="H9" s="45"/>
      <c r="I9" s="45"/>
      <c r="J9" s="45"/>
      <c r="K9" s="79"/>
      <c r="L9" s="81"/>
      <c r="M9" s="81"/>
      <c r="N9" s="81"/>
      <c r="O9" s="81"/>
      <c r="P9" s="82"/>
      <c r="Q9" s="83"/>
      <c r="R9" s="45"/>
      <c r="S9" s="80"/>
      <c r="T9" s="81"/>
      <c r="U9" s="81"/>
      <c r="V9" s="81"/>
      <c r="W9" s="82"/>
      <c r="X9" s="45"/>
    </row>
    <row r="10" ht="39.0" customHeight="1">
      <c r="A10" s="45"/>
      <c r="B10" s="90"/>
      <c r="C10" s="90"/>
      <c r="D10" s="90"/>
      <c r="E10" s="90"/>
      <c r="F10" s="90"/>
      <c r="G10" s="90"/>
      <c r="H10" s="45"/>
      <c r="I10" s="45"/>
      <c r="J10" s="45"/>
      <c r="K10" s="45"/>
      <c r="L10" s="90"/>
      <c r="M10" s="90"/>
      <c r="N10" s="90"/>
      <c r="O10" s="90"/>
      <c r="P10" s="90"/>
      <c r="Q10" s="45"/>
      <c r="R10" s="45"/>
      <c r="S10" s="45"/>
      <c r="T10" s="45"/>
      <c r="U10" s="45"/>
      <c r="V10" s="45"/>
      <c r="W10" s="45"/>
      <c r="X10" s="45"/>
    </row>
    <row r="11" ht="39.0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 ht="39.0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 ht="39.0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 ht="39.0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 ht="39.0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 ht="39.0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 ht="39.0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</row>
    <row r="18" ht="39.0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 ht="39.0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ht="39.0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ht="39.0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ht="39.0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 ht="39.0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 ht="39.0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 ht="39.0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 ht="39.0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 ht="39.0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 ht="39.0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 ht="39.0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 ht="39.0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 ht="39.0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 ht="39.0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 ht="39.0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 ht="39.0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 ht="39.0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 ht="39.0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 ht="39.0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 ht="39.0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 ht="39.0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 ht="39.0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 ht="39.0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 ht="39.0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 ht="39.0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 ht="39.0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 ht="39.0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 ht="39.0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 ht="39.0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 ht="39.0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 ht="39.0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 ht="39.0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 ht="39.0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 ht="39.0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 ht="39.0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 ht="39.0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 ht="39.0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 ht="39.0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 ht="39.0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 ht="39.0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 ht="39.0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 ht="39.0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 ht="39.0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 ht="39.0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 ht="39.0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 ht="39.0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 ht="39.0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 ht="39.0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 ht="39.0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 ht="39.0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 ht="39.0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 ht="39.0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 ht="39.0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 ht="39.0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 ht="39.0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 ht="39.0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 ht="39.0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 ht="39.0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 ht="39.0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 ht="39.0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 ht="39.0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 ht="39.0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 ht="39.0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 ht="39.0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 ht="39.0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 ht="39.0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 ht="39.0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 ht="39.0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 ht="39.0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 ht="39.0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 ht="39.0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 ht="39.0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 ht="39.0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 ht="39.0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 ht="39.0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 ht="39.0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 ht="39.0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 ht="39.0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 ht="39.0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 ht="39.0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 ht="39.0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 ht="39.0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 ht="39.0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