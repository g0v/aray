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<sst xmlns="http://schemas.openxmlformats.org/spreadsheetml/2006/main" count="202" uniqueCount="159">
  <si>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</si>
  <si>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</si>
  <si>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</si>
  <si>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</si>
  <si>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</si>
  <si>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</si>
  <si>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</si>
  <si>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</si>
  <si>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</si>
  <si>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</si>
  <si>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</si>
  <si>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</si>
  <si>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</si>
  <si>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</si>
  <si>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小班</t>
  </si>
  <si>
    <t>Y</t>
  </si>
  <si>
    <t>g0v 獎助金</t>
  </si>
  <si>
    <t>cc0</t>
  </si>
  <si>
    <t>https://docs.google.com/presentation/d/1olUiB9WBtH_JQXYTH2lX62SBNqxSEMpAstSMI2RrIxc/edit#slide=id.g207df311e5_1_167</t>
  </si>
  <si>
    <t>Ronny</t>
  </si>
  <si>
    <t>政府網站顯示標案資訊和承包廠商</t>
  </si>
  <si>
    <t>CC0</t>
  </si>
  <si>
    <t>https://g0v.hackpad.com/a0wv4LdHpwx</t>
  </si>
  <si>
    <t>https://docs.google.com/presentation/d/1iURW9_xoqFVozjWMXHUXv23NAkDy4X0XuhZo-1Qmhi8/edit#slide=id.g23b1f327ef_0_0</t>
  </si>
  <si>
    <t>標案 / 開放 / join</t>
  </si>
  <si>
    <t>weiting</t>
  </si>
  <si>
    <t>阿美語萌典</t>
  </si>
  <si>
    <t>cc-by</t>
  </si>
  <si>
    <t>http://beta.hackfoldr.org/11BRa7Ftnni8Q1NRdjwS378BgBz832UY4uIr-d0J0YpM/https%253A%252F%252Fhackmd.io%252Fs%252FHJJeu08Al</t>
  </si>
  <si>
    <t>https://docs.google.com/presentation/d/1yWW3ELQhQ7UgSeIBh5KDwJ4DpUr-C21s5q-1a1MxWqM/edit#slide=id.g2189fb8b12_0_28</t>
  </si>
  <si>
    <t>阿美語萌典、原住民族、寫作</t>
  </si>
  <si>
    <t>對原住民族文化有興趣的人</t>
  </si>
  <si>
    <t>Jane 汪</t>
  </si>
  <si>
    <t>Build Great Bridges Around Taiwan (BGBAT)</t>
  </si>
  <si>
    <t>http://tinyurl.com/bgbatpdfjune</t>
  </si>
  <si>
    <t>吸引留住「國際觀」人才 ／ 跨領域合作 ／ 讓台灣變更好</t>
  </si>
  <si>
    <t>Social innovation, int'l business, intercultural training, sociology, int'l affairs, counseling psych, coaching &amp; facilitation.</t>
  </si>
  <si>
    <t>上官</t>
  </si>
  <si>
    <t>吳守禮辭典</t>
  </si>
  <si>
    <t>johnny</t>
  </si>
  <si>
    <t>如果你是議員候選人</t>
  </si>
  <si>
    <t>https://councils.g0v.tw/candidates/intent_home/</t>
  </si>
  <si>
    <t>看膩一成不變的政見的人</t>
  </si>
  <si>
    <t>Stefan Simon</t>
  </si>
  <si>
    <t>N
(prefer audio only)</t>
  </si>
  <si>
    <t>Foodsharing Taiwan - foodsharing tool</t>
  </si>
  <si>
    <t>MIT (frontend) &amp; GNU-AGPL 3.0(backend)</t>
  </si>
  <si>
    <t>https://foodsharing.world/, https://www.facebook.com/foodsharingtaiwan/</t>
  </si>
  <si>
    <t>Website, app, sharing</t>
  </si>
  <si>
    <t>developers, programmer, software engineer, coder (javascript &amp; python)</t>
  </si>
  <si>
    <t>hychen</t>
  </si>
  <si>
    <t>機器學習歧視案例整理兼檢驗方法閒聊</t>
  </si>
  <si>
    <t>沒有人：徵求投影片</t>
  </si>
  <si>
    <t>機器學習 / 歧視 / 共筆</t>
  </si>
  <si>
    <t>需要幾個例子去抽成純粹的技術問題，所以希望有政治，社會，保險，金融等非電腦科學相關背景的人來討論</t>
  </si>
  <si>
    <t>芥藍菜</t>
  </si>
  <si>
    <t>論公策</t>
  </si>
  <si>
    <t>CC BY 4.0</t>
  </si>
  <si>
    <t>https://drive.google.com/open?id=0B2N1kfWfJEVadWNIMGZnamNtakE</t>
  </si>
  <si>
    <t>公共政策 / 平台 / 協作</t>
  </si>
  <si>
    <t>前後端工程師
想多探究公共政策的人</t>
  </si>
  <si>
    <t>Saul Peng</t>
  </si>
  <si>
    <t>知識協力倡議模式</t>
  </si>
  <si>
    <t>CC BY SA</t>
  </si>
  <si>
    <t>goo.gl/AQLqcN</t>
  </si>
  <si>
    <t>政治 / 知識 / 共筆</t>
  </si>
  <si>
    <t>關心公共議題，願意提供知識的人，認同開放及去壟斷的理念</t>
  </si>
  <si>
    <t>gavin</t>
  </si>
  <si>
    <t>lost</t>
  </si>
  <si>
    <t xml:space="preserve">cc by nc </t>
  </si>
  <si>
    <t>https://www.facebook.com/groups/101397120502155/</t>
  </si>
  <si>
    <t>https://goo.gl/g3d56V</t>
  </si>
  <si>
    <t>雨蒼</t>
  </si>
  <si>
    <t>Akoma Ntoso台灣在地化計畫</t>
  </si>
  <si>
    <t>https://hackmd.io/EYZgZgxgjATAHAFgLQgSArEhBOAbBJAQzF0KRnXQFMAGOGBGgdioSA==?view</t>
  </si>
  <si>
    <t>https://docs.google.com/presentation/d/1Xp_CG_RJ4bS2GxZiuUJeEizUQwVUsaa5SUJENJPnBrQ/edit#slide=id.p</t>
  </si>
  <si>
    <t>法案、修正動議、判決</t>
  </si>
  <si>
    <t>所有做議案、法案相關的朋友</t>
  </si>
  <si>
    <t>== 截止 ==</t>
  </si>
  <si>
    <t>14:00 - 15:30 g0v 公民科技創新獎助金期中報告，共 7 組，每組 8 分鐘
8 分鐘短講塞不下 QQ。獲獎專案總覽：https://grants.g0v.tw/power，進度報告：http://beta.hackfoldr.org/ctgrant-reports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</si>
  <si>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</si>
  <si>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</si>
  <si>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</si>
  <si>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</si>
  <si>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</si>
  <si>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</si>
  <si>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蕭A</t>
  </si>
  <si>
    <t>遺落在世界的國家寶藏</t>
  </si>
  <si>
    <t>http://beta.hackfoldr.org/national-treasures</t>
  </si>
  <si>
    <t>2018 議員投票指南</t>
  </si>
  <si>
    <t>https://goo.gl/G4ZoA2</t>
  </si>
  <si>
    <t>https://councils.g0v.tw/</t>
  </si>
  <si>
    <t>ronnywang</t>
  </si>
  <si>
    <t>y</t>
  </si>
  <si>
    <t>middle2 開放 PaaS 平台</t>
  </si>
  <si>
    <t>https://docs.google.com/presentation/d/1Yaho6aHi93-dul2iMAAxdWun5f0P8GpRj2uxGYqGe5Y/</t>
  </si>
  <si>
    <t>https://docs.google.com/presentation/d/1BPYBublU94rkcAq0DiQBld2ROpIbzPtGU19l98E-p3A/edit#slide=id.g23b2dd6206_0_41</t>
  </si>
  <si>
    <t>司法陽光網－判決書API計畫</t>
  </si>
  <si>
    <t>MIT</t>
  </si>
  <si>
    <t>https://docs.google.com/presentation/d/1BPYBublU94rkcAq0DiQBld2ROpIbzPtGU19l98E-p3A/edit?usp=drive_web</t>
  </si>
  <si>
    <t>Shaw Wu</t>
  </si>
  <si>
    <t>阿龜微氣候天眼通</t>
  </si>
  <si>
    <t>https://hackmd.io/s/By7drEXCg#</t>
  </si>
  <si>
    <t>https://github.com/Agriweather</t>
  </si>
  <si>
    <t>農業科技,微氣候資料科學,Ageiweather</t>
  </si>
  <si>
    <t>IoT, 前端, 企劃, 小編, 農夫</t>
  </si>
  <si>
    <t>https://www.slideshare.net/beehivedata/g0v-77389966</t>
  </si>
  <si>
    <t>Ｙ</t>
  </si>
  <si>
    <t>工作資訊透明化求職平台</t>
  </si>
  <si>
    <t>https://www.dropbox.com/s/yk9sutqbfdaxve8/g0v%E6%9C%9F%E4%B8%AD%E5%A0%B1%E5%91%8Av6.pdf?dl=0</t>
  </si>
  <si>
    <t>https://www.goodjob.life</t>
  </si>
  <si>
    <t xml:space="preserve">職場資訊透明化, 勞工權益 </t>
  </si>
  <si>
    <t>GGM</t>
  </si>
  <si>
    <t>【真的假的 LINE bot】</t>
  </si>
  <si>
    <t>MIT / CC0</t>
  </si>
  <si>
    <t>https://drive.google.com/open?id=1_kVaPa904UjnvPYR5Xbl0HNg1zCi4AQm-YYLL_KXaBs</t>
  </si>
  <si>
    <t>http://謠言.大平台.tw
http://beta.hackfoldr.org/cofacts</t>
  </si>
  <si>
    <t>Chat bot, fact-check, crowd-sourcing</t>
  </si>
  <si>
    <t>https://docs.google.com/presentation/d/1_kVaPa904UjnvPYR5Xbl0HNg1zCi4AQm-YYLL_KXaBs/edit</t>
  </si>
  <si>
    <t>Akoma Ntoso初探</t>
  </si>
  <si>
    <t>https://docs.google.com/presentation/d/1bD9a47anDvgTXUZOgVT-jqn22uIKlbJ1xWpnn3RVSJs/edit#slide=id.p</t>
  </si>
  <si>
    <t>17:00【 present project】 規則：於106-7會議室舉行
每個 present 5min，可視 project 數量和剩餘時間調整</t>
  </si>
  <si>
    <t>CCBY</t>
  </si>
  <si>
    <t>文字工</t>
  </si>
  <si>
    <t>17:05</t>
  </si>
  <si>
    <t>17:10</t>
  </si>
  <si>
    <t>改名後的論公策</t>
  </si>
  <si>
    <t>https://drive.google.com/open?id=0B2N1kfWfJEVaeWEzMFR4dzBwbkE</t>
  </si>
  <si>
    <t>17:15</t>
  </si>
  <si>
    <t>yutin</t>
  </si>
  <si>
    <t>p</t>
  </si>
  <si>
    <t>聚集在此刻の分享空間</t>
  </si>
  <si>
    <t>FREE</t>
  </si>
  <si>
    <t>https://tmotx.github.io/space/</t>
  </si>
  <si>
    <t>17:20</t>
  </si>
  <si>
    <t>17:25</t>
  </si>
  <si>
    <t>17:30</t>
  </si>
  <si>
    <t>子期</t>
  </si>
  <si>
    <t>pretix - 開源的售票報名系統</t>
  </si>
  <si>
    <t>Apache</t>
  </si>
  <si>
    <t>http://pretix.eu</t>
  </si>
  <si>
    <t>17:35</t>
  </si>
  <si>
    <t>lost / 科技管理無人機熱區1</t>
  </si>
  <si>
    <t>https://goo.gl/pvX51n</t>
  </si>
  <si>
    <t>https://goo.gl/b2niRZ</t>
  </si>
  <si>
    <t>17:40</t>
  </si>
  <si>
    <t>jimmy</t>
  </si>
  <si>
    <t>2017HackNTU</t>
  </si>
  <si>
    <t>https://goo.gl/jWQGuf</t>
  </si>
  <si>
    <t>https://goo.gl/Cp2vtR</t>
  </si>
  <si>
    <t>17:45</t>
  </si>
  <si>
    <t>17:50</t>
  </si>
  <si>
    <t>17:55</t>
  </si>
  <si>
    <t>18:00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</si>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</sst>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8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u/>
      <color rgb="FF0000FF"/>
    </font>
    <font>
      <sz val="10.0"/>
    </font>
    <font>
      <u/>
      <color rgb="FF0000FF"/>
    </font>
    <font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Verdana"/>
    </font>
    <font>
      <color rgb="FF0000FF"/>
    </font>
    <font>
      <b/>
      <u/>
      <color rgb="FF0000FF"/>
    </font>
    <font>
      <u/>
      <sz val="12.0"/>
      <color rgb="FF0000FF"/>
    </font>
    <font>
      <u/>
      <color rgb="FF000000"/>
      <name val="Arial"/>
    </font>
    <font>
      <u/>
      <sz val="12.0"/>
      <color rgb="FF333333"/>
      <name val="Roboto"/>
    </font>
    <font>
      <sz val="11.0"/>
    </font>
    <font>
      <u/>
      <sz val="10.0"/>
      <color rgb="FF0000FF"/>
    </font>
    <font>
      <u/>
      <color rgb="FF000000"/>
    </font>
    <font>
      <sz val="11.0"/>
      <color rgb="FF2B80B9"/>
    </font>
    <font>
      <sz val="14.0"/>
    </font>
    <font>
      <sz val="12.0"/>
    </font>
    <font>
      <sz val="6.0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bottom" wrapText="1"/>
    </xf>
    <xf borderId="0" fillId="3" fontId="11" numFmtId="0" xfId="0" applyAlignment="1" applyFont="1">
      <alignment horizontal="center" shrinkToFit="0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0" fillId="5" fontId="14" numFmtId="0" xfId="0" applyAlignment="1" applyFill="1" applyFont="1">
      <alignment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3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0" fontId="7" numFmtId="0" xfId="0" applyAlignment="1" applyFont="1">
      <alignment horizontal="left" shrinkToFit="0" vertical="center" wrapText="1"/>
    </xf>
    <xf borderId="0" fillId="0" fontId="11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wrapText="1"/>
    </xf>
    <xf borderId="0" fillId="0" fontId="1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 shrinkToFit="0" vertical="center" wrapText="1"/>
    </xf>
    <xf borderId="0" fillId="5" fontId="18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6" fontId="7" numFmtId="0" xfId="0" applyAlignment="1" applyFill="1" applyFont="1">
      <alignment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7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5" fontId="21" numFmtId="0" xfId="0" applyAlignment="1" applyFont="1">
      <alignment horizontal="left" readingOrder="0" shrinkToFit="0" wrapText="1"/>
    </xf>
    <xf borderId="0" fillId="0" fontId="22" numFmtId="0" xfId="0" applyAlignment="1" applyFont="1">
      <alignment horizontal="center" readingOrder="0" shrinkToFit="0" wrapText="1"/>
    </xf>
    <xf borderId="0" fillId="0" fontId="23" numFmtId="0" xfId="0" applyAlignment="1" applyFont="1">
      <alignment readingOrder="0" shrinkToFit="0" wrapText="1"/>
    </xf>
    <xf borderId="0" fillId="5" fontId="9" numFmtId="0" xfId="0" applyAlignment="1" applyFont="1">
      <alignment horizontal="left" readingOrder="0" shrinkToFit="0" wrapText="1"/>
    </xf>
    <xf borderId="0" fillId="5" fontId="9" numFmtId="0" xfId="0" applyAlignment="1" applyFont="1">
      <alignment readingOrder="0" shrinkToFit="0" wrapText="1"/>
    </xf>
    <xf borderId="0" fillId="5" fontId="9" numFmtId="0" xfId="0" applyAlignment="1" applyFont="1">
      <alignment horizontal="left" readingOrder="0" shrinkToFit="0" wrapText="1"/>
    </xf>
    <xf borderId="0" fillId="8" fontId="7" numFmtId="0" xfId="0" applyAlignment="1" applyFill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5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27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BPYBublU94rkcAq0DiQBld2ROpIbzPtGU19l98E-p3A/edit?usp=drive_web" TargetMode="External"/><Relationship Id="rId22" Type="http://schemas.openxmlformats.org/officeDocument/2006/relationships/hyperlink" Target="https://github.com/Agriweather" TargetMode="External"/><Relationship Id="rId21" Type="http://schemas.openxmlformats.org/officeDocument/2006/relationships/hyperlink" Target="https://hackmd.io/s/By7drEXCg" TargetMode="External"/><Relationship Id="rId24" Type="http://schemas.openxmlformats.org/officeDocument/2006/relationships/hyperlink" Target="https://www.dropbox.com/s/yk9sutqbfdaxve8/g0v%E6%9C%9F%E4%B8%AD%E5%A0%B1%E5%91%8Av6.pdf?dl=0" TargetMode="External"/><Relationship Id="rId23" Type="http://schemas.openxmlformats.org/officeDocument/2006/relationships/hyperlink" Target="https://www.slideshare.net/beehivedata/g0v-77389966" TargetMode="External"/><Relationship Id="rId1" Type="http://schemas.openxmlformats.org/officeDocument/2006/relationships/hyperlink" Target="https://docs.google.com/presentation/d/1olUiB9WBtH_JQXYTH2lX62SBNqxSEMpAstSMI2RrIxc/edit" TargetMode="External"/><Relationship Id="rId2" Type="http://schemas.openxmlformats.org/officeDocument/2006/relationships/hyperlink" Target="https://g0v.hackpad.com/a0wv4LdHpwx" TargetMode="External"/><Relationship Id="rId3" Type="http://schemas.openxmlformats.org/officeDocument/2006/relationships/hyperlink" Target="https://docs.google.com/presentation/d/1iURW9_xoqFVozjWMXHUXv23NAkDy4X0XuhZo-1Qmhi8/edit" TargetMode="External"/><Relationship Id="rId4" Type="http://schemas.openxmlformats.org/officeDocument/2006/relationships/hyperlink" Target="http://beta.hackfoldr.org/11BRa7Ftnni8Q1NRdjwS378BgBz832UY4uIr-d0J0YpM/https%253A%252F%252Fhackmd.io%252Fs%252FHJJeu08Al" TargetMode="External"/><Relationship Id="rId9" Type="http://schemas.openxmlformats.org/officeDocument/2006/relationships/hyperlink" Target="http://goo.gl/AQLqcN" TargetMode="External"/><Relationship Id="rId26" Type="http://schemas.openxmlformats.org/officeDocument/2006/relationships/hyperlink" Target="https://drive.google.com/open?id=1_kVaPa904UjnvPYR5Xbl0HNg1zCi4AQm-YYLL_KXaBs" TargetMode="External"/><Relationship Id="rId25" Type="http://schemas.openxmlformats.org/officeDocument/2006/relationships/hyperlink" Target="https://www.goodjob.life" TargetMode="External"/><Relationship Id="rId28" Type="http://schemas.openxmlformats.org/officeDocument/2006/relationships/hyperlink" Target="https://hackmd.io/EYZgZgxgjATAHAFgLQgSArEhBOAbBJAQzF0KRnXQFMAGOGBGgdioSA==?view" TargetMode="External"/><Relationship Id="rId27" Type="http://schemas.openxmlformats.org/officeDocument/2006/relationships/hyperlink" Target="https://docs.google.com/presentation/d/1_kVaPa904UjnvPYR5Xbl0HNg1zCi4AQm-YYLL_KXaBs/edit" TargetMode="External"/><Relationship Id="rId5" Type="http://schemas.openxmlformats.org/officeDocument/2006/relationships/hyperlink" Target="https://docs.google.com/presentation/d/1yWW3ELQhQ7UgSeIBh5KDwJ4DpUr-C21s5q-1a1MxWqM/edit" TargetMode="External"/><Relationship Id="rId6" Type="http://schemas.openxmlformats.org/officeDocument/2006/relationships/hyperlink" Target="http://tinyurl.com/bgbatpdfjune" TargetMode="External"/><Relationship Id="rId29" Type="http://schemas.openxmlformats.org/officeDocument/2006/relationships/hyperlink" Target="https://docs.google.com/presentation/d/1bD9a47anDvgTXUZOgVT-jqn22uIKlbJ1xWpnn3RVSJs/edit" TargetMode="External"/><Relationship Id="rId7" Type="http://schemas.openxmlformats.org/officeDocument/2006/relationships/hyperlink" Target="https://councils.g0v.tw/candidates/intent_home/" TargetMode="External"/><Relationship Id="rId8" Type="http://schemas.openxmlformats.org/officeDocument/2006/relationships/hyperlink" Target="https://drive.google.com/open?id=0B2N1kfWfJEVadWNIMGZnamNtakE" TargetMode="External"/><Relationship Id="rId31" Type="http://schemas.openxmlformats.org/officeDocument/2006/relationships/hyperlink" Target="https://drive.google.com/open?id=0B2N1kfWfJEVaeWEzMFR4dzBwbkE" TargetMode="External"/><Relationship Id="rId30" Type="http://schemas.openxmlformats.org/officeDocument/2006/relationships/hyperlink" Target="http://beta.hackfoldr.org/11BRa7Ftnni8Q1NRdjwS378BgBz832UY4uIr-d0J0YpM/https%253A%252F%252Fhackmd.io%252Fs%252FHJJeu08Al" TargetMode="External"/><Relationship Id="rId11" Type="http://schemas.openxmlformats.org/officeDocument/2006/relationships/hyperlink" Target="https://www.facebook.com/groups/101397120502155/" TargetMode="External"/><Relationship Id="rId33" Type="http://schemas.openxmlformats.org/officeDocument/2006/relationships/hyperlink" Target="http://pretix.eu" TargetMode="External"/><Relationship Id="rId10" Type="http://schemas.openxmlformats.org/officeDocument/2006/relationships/hyperlink" Target="http://goo.gl/AQLqcN" TargetMode="External"/><Relationship Id="rId32" Type="http://schemas.openxmlformats.org/officeDocument/2006/relationships/hyperlink" Target="https://tmotx.github.io/space/" TargetMode="External"/><Relationship Id="rId13" Type="http://schemas.openxmlformats.org/officeDocument/2006/relationships/hyperlink" Target="https://hackmd.io/EYZgZgxgjATAHAFgLQgSArEhBOAbBJAQzF0KRnXQFMAGOGBGgdioSA==?view" TargetMode="External"/><Relationship Id="rId35" Type="http://schemas.openxmlformats.org/officeDocument/2006/relationships/hyperlink" Target="https://goo.gl/b2niRZ" TargetMode="External"/><Relationship Id="rId12" Type="http://schemas.openxmlformats.org/officeDocument/2006/relationships/hyperlink" Target="https://goo.gl/g3d56V" TargetMode="External"/><Relationship Id="rId34" Type="http://schemas.openxmlformats.org/officeDocument/2006/relationships/hyperlink" Target="https://goo.gl/pvX51n" TargetMode="External"/><Relationship Id="rId15" Type="http://schemas.openxmlformats.org/officeDocument/2006/relationships/hyperlink" Target="http://beta.hackfoldr.org/national-treasures" TargetMode="External"/><Relationship Id="rId37" Type="http://schemas.openxmlformats.org/officeDocument/2006/relationships/hyperlink" Target="https://goo.gl/Cp2vtR" TargetMode="External"/><Relationship Id="rId14" Type="http://schemas.openxmlformats.org/officeDocument/2006/relationships/hyperlink" Target="https://docs.google.com/presentation/d/1Xp_CG_RJ4bS2GxZiuUJeEizUQwVUsaa5SUJENJPnBrQ/edit" TargetMode="External"/><Relationship Id="rId36" Type="http://schemas.openxmlformats.org/officeDocument/2006/relationships/hyperlink" Target="https://goo.gl/jWQGuf" TargetMode="External"/><Relationship Id="rId17" Type="http://schemas.openxmlformats.org/officeDocument/2006/relationships/hyperlink" Target="https://councils.g0v.tw/" TargetMode="External"/><Relationship Id="rId16" Type="http://schemas.openxmlformats.org/officeDocument/2006/relationships/hyperlink" Target="https://goo.gl/G4ZoA2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docs.google.com/presentation/d/1BPYBublU94rkcAq0DiQBld2ROpIbzPtGU19l98E-p3A/edit" TargetMode="External"/><Relationship Id="rId18" Type="http://schemas.openxmlformats.org/officeDocument/2006/relationships/hyperlink" Target="https://docs.google.com/presentation/d/1Yaho6aHi93-dul2iMAAxdWun5f0P8GpRj2uxGYqGe5Y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22.25"/>
    <col customWidth="1" min="11" max="11" width="32.5"/>
    <col customWidth="1" min="12" max="12" width="15.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ht="15.0" customHeight="1">
      <c r="A3" s="7" t="s">
        <v>13</v>
      </c>
    </row>
    <row r="4" ht="15.0" customHeight="1">
      <c r="A4" s="8"/>
      <c r="L4" s="8"/>
      <c r="M4" s="8"/>
      <c r="N4" s="8"/>
    </row>
    <row r="5" ht="22.5" customHeight="1">
      <c r="A5" s="9">
        <v>1.0</v>
      </c>
      <c r="B5" s="10">
        <v>0.4027777777777778</v>
      </c>
      <c r="C5" s="11"/>
      <c r="D5" s="12" t="s">
        <v>14</v>
      </c>
      <c r="E5" s="12" t="s">
        <v>15</v>
      </c>
      <c r="F5" s="12" t="s">
        <v>16</v>
      </c>
      <c r="G5" s="12" t="s">
        <v>17</v>
      </c>
      <c r="I5" s="13" t="s">
        <v>18</v>
      </c>
      <c r="L5" s="14"/>
      <c r="M5" s="15"/>
      <c r="N5" s="14"/>
    </row>
    <row r="6" ht="15.0" customHeight="1">
      <c r="A6" s="9">
        <v>2.0</v>
      </c>
      <c r="B6" s="10">
        <v>0.4048611111111111</v>
      </c>
      <c r="C6" s="11"/>
      <c r="D6" s="14"/>
      <c r="E6" s="16"/>
      <c r="F6" s="14"/>
      <c r="G6" s="12"/>
      <c r="H6" s="14"/>
      <c r="I6" s="14"/>
      <c r="J6" s="14"/>
      <c r="K6" s="12"/>
      <c r="L6" s="14"/>
      <c r="M6" s="15"/>
      <c r="N6" s="17"/>
    </row>
    <row r="7" ht="15.0" customHeight="1">
      <c r="A7" s="9">
        <v>3.0</v>
      </c>
      <c r="B7" s="10">
        <v>0.40694444444444444</v>
      </c>
      <c r="C7" s="11"/>
      <c r="D7" s="12"/>
      <c r="E7" s="16"/>
      <c r="F7" s="14"/>
      <c r="G7" s="12"/>
      <c r="H7" s="12"/>
      <c r="I7" s="12"/>
      <c r="J7" s="12"/>
      <c r="K7" s="12"/>
      <c r="L7" s="14"/>
      <c r="M7" s="15"/>
      <c r="N7" s="14"/>
    </row>
    <row r="8" ht="15.0" customHeight="1">
      <c r="A8" s="9">
        <v>4.0</v>
      </c>
      <c r="B8" s="10">
        <v>0.40902777777777777</v>
      </c>
      <c r="C8" s="11"/>
      <c r="D8" s="12"/>
      <c r="E8" s="16"/>
      <c r="F8" s="14"/>
      <c r="G8" s="14"/>
      <c r="H8" s="18"/>
      <c r="I8" s="14"/>
      <c r="J8" s="12"/>
      <c r="K8" s="12"/>
    </row>
    <row r="9" ht="15.0" customHeight="1">
      <c r="A9" s="9">
        <v>5.0</v>
      </c>
      <c r="B9" s="10">
        <v>0.4111111111111111</v>
      </c>
      <c r="C9" s="11"/>
      <c r="D9" s="14"/>
      <c r="E9" s="16"/>
      <c r="F9" s="14"/>
      <c r="G9" s="14"/>
      <c r="H9" s="14"/>
      <c r="I9" s="14"/>
      <c r="J9" s="14"/>
      <c r="K9" s="14"/>
      <c r="L9" s="14"/>
      <c r="M9" s="15"/>
      <c r="N9" s="14"/>
    </row>
    <row r="10" ht="15.0" customHeight="1">
      <c r="A10" s="9">
        <v>6.0</v>
      </c>
      <c r="B10" s="10">
        <v>0.4131944444444444</v>
      </c>
      <c r="C10" s="11"/>
      <c r="D10" s="14"/>
      <c r="E10" s="16"/>
      <c r="F10" s="14"/>
      <c r="G10" s="14"/>
      <c r="H10" s="14"/>
      <c r="I10" s="14"/>
      <c r="J10" s="19"/>
      <c r="K10" s="14"/>
      <c r="L10" s="14"/>
      <c r="M10" s="15"/>
      <c r="N10" s="14"/>
    </row>
    <row r="11" ht="18.0" customHeight="1">
      <c r="A11" s="9">
        <v>7.0</v>
      </c>
      <c r="B11" s="10">
        <v>0.4152777777777778</v>
      </c>
      <c r="C11" s="11"/>
      <c r="D11" s="12" t="s">
        <v>19</v>
      </c>
      <c r="E11" s="16" t="s">
        <v>15</v>
      </c>
      <c r="F11" s="14" t="s">
        <v>20</v>
      </c>
      <c r="G11" s="14" t="s">
        <v>21</v>
      </c>
      <c r="H11" s="20" t="s">
        <v>22</v>
      </c>
      <c r="I11" s="20" t="s">
        <v>23</v>
      </c>
      <c r="J11" s="9" t="s">
        <v>24</v>
      </c>
      <c r="K11" s="14"/>
      <c r="L11" s="14"/>
      <c r="M11" s="15"/>
      <c r="N11" s="14"/>
    </row>
    <row r="12" ht="15.0" customHeight="1">
      <c r="A12" s="9">
        <v>8.0</v>
      </c>
      <c r="B12" s="10">
        <v>0.4173611111111111</v>
      </c>
      <c r="C12" s="11"/>
      <c r="D12" s="21" t="s">
        <v>25</v>
      </c>
      <c r="E12" s="22" t="s">
        <v>15</v>
      </c>
      <c r="F12" s="23" t="s">
        <v>26</v>
      </c>
      <c r="G12" s="24" t="s">
        <v>27</v>
      </c>
      <c r="H12" s="25" t="s">
        <v>28</v>
      </c>
      <c r="I12" s="26" t="s">
        <v>29</v>
      </c>
      <c r="J12" s="23" t="s">
        <v>30</v>
      </c>
      <c r="K12" s="23" t="s">
        <v>31</v>
      </c>
      <c r="L12" s="14"/>
      <c r="M12" s="15"/>
      <c r="N12" s="14"/>
    </row>
    <row r="13" ht="15.0" customHeight="1">
      <c r="A13" s="9">
        <v>9.0</v>
      </c>
      <c r="B13" s="10">
        <v>0.41944444444444445</v>
      </c>
      <c r="C13" s="11"/>
      <c r="D13" s="14" t="s">
        <v>32</v>
      </c>
      <c r="E13" s="16"/>
      <c r="F13" s="14" t="s">
        <v>33</v>
      </c>
      <c r="G13" s="12"/>
      <c r="H13" s="14"/>
      <c r="I13" s="27" t="s">
        <v>34</v>
      </c>
      <c r="J13" s="14" t="s">
        <v>35</v>
      </c>
      <c r="K13" s="14" t="s">
        <v>36</v>
      </c>
      <c r="L13" s="14"/>
      <c r="M13" s="15"/>
      <c r="N13" s="14"/>
    </row>
    <row r="14" ht="15.0" customHeight="1">
      <c r="A14" s="9">
        <v>10.0</v>
      </c>
      <c r="B14" s="10">
        <v>0.4215277777777778</v>
      </c>
      <c r="C14" s="11"/>
      <c r="D14" s="12" t="s">
        <v>37</v>
      </c>
      <c r="E14" s="28" t="s">
        <v>15</v>
      </c>
      <c r="F14" s="14" t="s">
        <v>38</v>
      </c>
      <c r="G14" s="12"/>
      <c r="H14" s="12"/>
      <c r="I14" s="12"/>
      <c r="J14" s="12"/>
      <c r="K14" s="12"/>
      <c r="L14" s="14"/>
      <c r="N14" s="12"/>
    </row>
    <row r="15" ht="15.0" customHeight="1">
      <c r="A15" s="9">
        <v>11.0</v>
      </c>
      <c r="B15" s="10">
        <v>0.4236111111111111</v>
      </c>
      <c r="C15" s="11"/>
      <c r="D15" s="29" t="s">
        <v>39</v>
      </c>
      <c r="E15" s="16" t="s">
        <v>15</v>
      </c>
      <c r="F15" s="14" t="s">
        <v>40</v>
      </c>
      <c r="G15" s="14" t="s">
        <v>21</v>
      </c>
      <c r="H15" s="14"/>
      <c r="I15" s="20" t="s">
        <v>41</v>
      </c>
      <c r="J15" s="30"/>
      <c r="K15" s="30" t="s">
        <v>42</v>
      </c>
      <c r="L15" s="14"/>
      <c r="M15" s="15"/>
      <c r="N15" s="14"/>
    </row>
    <row r="16" ht="15.0" customHeight="1">
      <c r="A16" s="9">
        <v>12.0</v>
      </c>
      <c r="B16" s="10">
        <v>0.42569444444444443</v>
      </c>
      <c r="C16" s="11"/>
      <c r="D16" s="14" t="s">
        <v>43</v>
      </c>
      <c r="E16" s="16" t="s">
        <v>44</v>
      </c>
      <c r="F16" s="14" t="s">
        <v>45</v>
      </c>
      <c r="G16" s="12" t="s">
        <v>46</v>
      </c>
      <c r="H16" s="17" t="s">
        <v>47</v>
      </c>
      <c r="I16" s="17"/>
      <c r="J16" s="14" t="s">
        <v>48</v>
      </c>
      <c r="K16" s="14" t="s">
        <v>49</v>
      </c>
      <c r="L16" s="14"/>
      <c r="M16" s="15"/>
      <c r="N16" s="14"/>
    </row>
    <row r="17" ht="15.0" customHeight="1">
      <c r="A17" s="9">
        <v>13.0</v>
      </c>
      <c r="B17" s="10">
        <v>0.42777777777777776</v>
      </c>
      <c r="C17" s="11"/>
      <c r="D17" s="31" t="s">
        <v>50</v>
      </c>
      <c r="E17" s="32" t="s">
        <v>15</v>
      </c>
      <c r="F17" s="33" t="s">
        <v>51</v>
      </c>
      <c r="G17" s="14" t="s">
        <v>17</v>
      </c>
      <c r="H17" s="31" t="s">
        <v>52</v>
      </c>
      <c r="I17" s="14"/>
      <c r="J17" s="14" t="s">
        <v>53</v>
      </c>
      <c r="K17" s="14" t="s">
        <v>54</v>
      </c>
      <c r="L17" s="14"/>
      <c r="M17" s="15"/>
      <c r="N17" s="15"/>
    </row>
    <row r="18" ht="15.0" customHeight="1">
      <c r="A18" s="9">
        <v>14.0</v>
      </c>
      <c r="B18" s="10">
        <v>0.42986111111111114</v>
      </c>
      <c r="C18" s="11"/>
      <c r="D18" s="14" t="s">
        <v>55</v>
      </c>
      <c r="E18" s="16" t="s">
        <v>15</v>
      </c>
      <c r="F18" s="14" t="s">
        <v>56</v>
      </c>
      <c r="G18" s="14" t="s">
        <v>57</v>
      </c>
      <c r="H18" s="14"/>
      <c r="I18" s="34" t="s">
        <v>58</v>
      </c>
      <c r="J18" s="14" t="s">
        <v>59</v>
      </c>
      <c r="K18" s="14" t="s">
        <v>60</v>
      </c>
      <c r="L18" s="14"/>
      <c r="M18" s="15"/>
      <c r="N18" s="15"/>
    </row>
    <row r="19" ht="15.0" customHeight="1">
      <c r="A19" s="9">
        <v>15.0</v>
      </c>
      <c r="B19" s="10">
        <v>0.43194444444444446</v>
      </c>
      <c r="C19" s="11"/>
      <c r="D19" s="14" t="s">
        <v>61</v>
      </c>
      <c r="E19" s="16" t="s">
        <v>15</v>
      </c>
      <c r="F19" s="14" t="s">
        <v>62</v>
      </c>
      <c r="G19" s="35" t="s">
        <v>63</v>
      </c>
      <c r="H19" s="14"/>
      <c r="I19" s="20" t="s">
        <v>64</v>
      </c>
      <c r="J19" s="14" t="s">
        <v>65</v>
      </c>
      <c r="K19" s="14" t="s">
        <v>66</v>
      </c>
      <c r="L19" s="14"/>
      <c r="M19" s="15"/>
      <c r="N19" s="20" t="s">
        <v>64</v>
      </c>
    </row>
    <row r="20" ht="15.0" customHeight="1">
      <c r="A20" s="14">
        <v>16.0</v>
      </c>
      <c r="B20" s="10">
        <v>0.4340277777777778</v>
      </c>
      <c r="C20" s="11"/>
      <c r="D20" s="14" t="s">
        <v>67</v>
      </c>
      <c r="E20" s="16" t="s">
        <v>15</v>
      </c>
      <c r="F20" s="14" t="s">
        <v>68</v>
      </c>
      <c r="G20" s="14" t="s">
        <v>69</v>
      </c>
      <c r="H20" s="20" t="s">
        <v>70</v>
      </c>
      <c r="I20" s="20" t="s">
        <v>71</v>
      </c>
      <c r="J20" s="14"/>
      <c r="K20" s="14"/>
      <c r="L20" s="14"/>
      <c r="M20" s="15"/>
      <c r="N20" s="15"/>
    </row>
    <row r="21" ht="15.0" customHeight="1">
      <c r="A21" s="14"/>
      <c r="B21" s="10"/>
      <c r="C21" s="11"/>
      <c r="D21" s="14" t="s">
        <v>72</v>
      </c>
      <c r="E21" s="16" t="s">
        <v>15</v>
      </c>
      <c r="F21" s="14" t="s">
        <v>73</v>
      </c>
      <c r="G21" s="14" t="s">
        <v>17</v>
      </c>
      <c r="H21" s="20" t="s">
        <v>74</v>
      </c>
      <c r="I21" s="20" t="s">
        <v>75</v>
      </c>
      <c r="J21" s="14" t="s">
        <v>76</v>
      </c>
      <c r="K21" s="14" t="s">
        <v>77</v>
      </c>
      <c r="L21" s="14"/>
      <c r="M21" s="15"/>
      <c r="N21" s="15"/>
    </row>
    <row r="22" ht="15.0" customHeight="1">
      <c r="A22" s="14"/>
      <c r="B22" s="10"/>
      <c r="C22" s="11"/>
      <c r="D22" s="36" t="s">
        <v>78</v>
      </c>
      <c r="E22" s="16"/>
      <c r="F22" s="14"/>
      <c r="G22" s="14"/>
      <c r="H22" s="14"/>
      <c r="I22" s="14"/>
      <c r="J22" s="14"/>
      <c r="K22" s="14"/>
      <c r="L22" s="14"/>
      <c r="M22" s="15"/>
      <c r="N22" s="15"/>
    </row>
    <row r="23" ht="15.0" customHeight="1">
      <c r="A23" s="7" t="s">
        <v>79</v>
      </c>
    </row>
    <row r="24" ht="15.0" customHeight="1">
      <c r="A24" s="4" t="s">
        <v>80</v>
      </c>
      <c r="B24" s="4" t="s">
        <v>81</v>
      </c>
      <c r="C24" s="3" t="s">
        <v>1</v>
      </c>
      <c r="D24" s="4" t="s">
        <v>2</v>
      </c>
      <c r="E24" s="6" t="s">
        <v>82</v>
      </c>
      <c r="F24" s="4" t="s">
        <v>4</v>
      </c>
      <c r="G24" s="37"/>
      <c r="H24" s="4"/>
      <c r="I24" s="4" t="s">
        <v>83</v>
      </c>
      <c r="J24" s="4" t="s">
        <v>84</v>
      </c>
      <c r="K24" s="4" t="s">
        <v>85</v>
      </c>
      <c r="L24" s="37"/>
      <c r="M24" s="37"/>
      <c r="N24" s="37"/>
    </row>
    <row r="25" ht="15.0" customHeight="1">
      <c r="A25" s="38">
        <v>1.0</v>
      </c>
      <c r="B25" s="10">
        <v>0.5833333333333334</v>
      </c>
      <c r="C25" s="11"/>
      <c r="D25" s="12" t="s">
        <v>86</v>
      </c>
      <c r="F25" s="21" t="s">
        <v>87</v>
      </c>
      <c r="H25" s="12"/>
      <c r="I25" s="39" t="s">
        <v>88</v>
      </c>
      <c r="K25" s="14"/>
      <c r="L25" s="29"/>
      <c r="M25" s="40"/>
      <c r="N25" s="40"/>
    </row>
    <row r="26" ht="15.0" customHeight="1">
      <c r="A26" s="38">
        <v>2.0</v>
      </c>
      <c r="B26" s="10">
        <f>B25+ TIME(0,8,0)</f>
        <v>0.5888888889</v>
      </c>
      <c r="C26" s="11"/>
      <c r="D26" s="41" t="s">
        <v>39</v>
      </c>
      <c r="E26" s="16" t="s">
        <v>15</v>
      </c>
      <c r="F26" s="21" t="s">
        <v>89</v>
      </c>
      <c r="G26" s="14" t="s">
        <v>21</v>
      </c>
      <c r="H26" s="39" t="s">
        <v>90</v>
      </c>
      <c r="I26" s="13" t="s">
        <v>91</v>
      </c>
      <c r="J26" s="42"/>
      <c r="K26" s="14"/>
      <c r="L26" s="29"/>
      <c r="M26" s="40"/>
      <c r="N26" s="29"/>
    </row>
    <row r="27" ht="15.0" customHeight="1">
      <c r="A27" s="38">
        <v>3.0</v>
      </c>
      <c r="B27" s="10">
        <f t="shared" ref="B27:B31" si="1">B26+ TIME(0,10,0)</f>
        <v>0.5958333333</v>
      </c>
      <c r="C27" s="11"/>
      <c r="D27" s="41" t="s">
        <v>92</v>
      </c>
      <c r="E27" s="16" t="s">
        <v>93</v>
      </c>
      <c r="F27" s="21" t="s">
        <v>94</v>
      </c>
      <c r="G27" s="14"/>
      <c r="H27" s="39" t="s">
        <v>95</v>
      </c>
      <c r="I27" s="43" t="s">
        <v>96</v>
      </c>
      <c r="J27" s="12"/>
      <c r="K27" s="12"/>
      <c r="L27" s="12"/>
      <c r="N27" s="44"/>
    </row>
    <row r="28" ht="15.0" customHeight="1">
      <c r="A28" s="14">
        <v>4.0</v>
      </c>
      <c r="B28" s="10">
        <f t="shared" si="1"/>
        <v>0.6027777778</v>
      </c>
      <c r="C28" s="45"/>
      <c r="D28" s="41" t="s">
        <v>72</v>
      </c>
      <c r="E28" s="16" t="s">
        <v>15</v>
      </c>
      <c r="F28" s="21" t="s">
        <v>97</v>
      </c>
      <c r="G28" s="35" t="s">
        <v>98</v>
      </c>
      <c r="H28" s="15"/>
      <c r="I28" s="39" t="s">
        <v>99</v>
      </c>
      <c r="J28" s="14"/>
      <c r="K28" s="15"/>
      <c r="L28" s="14"/>
      <c r="M28" s="15"/>
      <c r="N28" s="15"/>
    </row>
    <row r="29" ht="15.0" customHeight="1">
      <c r="A29" s="14">
        <v>5.0</v>
      </c>
      <c r="B29" s="10">
        <f t="shared" si="1"/>
        <v>0.6097222222</v>
      </c>
      <c r="C29" s="45"/>
      <c r="D29" s="41" t="s">
        <v>100</v>
      </c>
      <c r="E29" s="11" t="s">
        <v>15</v>
      </c>
      <c r="F29" s="21" t="s">
        <v>101</v>
      </c>
      <c r="G29" s="14" t="s">
        <v>98</v>
      </c>
      <c r="H29" s="20" t="s">
        <v>102</v>
      </c>
      <c r="I29" s="46" t="s">
        <v>103</v>
      </c>
      <c r="J29" s="14" t="s">
        <v>104</v>
      </c>
      <c r="K29" s="14" t="s">
        <v>105</v>
      </c>
      <c r="L29" s="14"/>
      <c r="M29" s="15"/>
      <c r="N29" s="20" t="s">
        <v>106</v>
      </c>
    </row>
    <row r="30" ht="15.0" customHeight="1">
      <c r="A30" s="14">
        <v>6.0</v>
      </c>
      <c r="B30" s="10">
        <f t="shared" si="1"/>
        <v>0.6166666667</v>
      </c>
      <c r="C30" s="45"/>
      <c r="E30" s="11" t="s">
        <v>107</v>
      </c>
      <c r="F30" s="21" t="s">
        <v>108</v>
      </c>
      <c r="G30" s="14" t="s">
        <v>98</v>
      </c>
      <c r="H30" s="20" t="s">
        <v>109</v>
      </c>
      <c r="I30" s="13" t="s">
        <v>110</v>
      </c>
      <c r="J30" s="14" t="s">
        <v>111</v>
      </c>
      <c r="K30" s="15"/>
      <c r="L30" s="14"/>
      <c r="M30" s="15"/>
      <c r="N30" s="15"/>
    </row>
    <row r="31" ht="15.0" customHeight="1">
      <c r="A31" s="14">
        <v>7.0</v>
      </c>
      <c r="B31" s="10">
        <f t="shared" si="1"/>
        <v>0.6236111111</v>
      </c>
      <c r="C31" s="45"/>
      <c r="D31" s="41" t="s">
        <v>112</v>
      </c>
      <c r="E31" s="11" t="s">
        <v>15</v>
      </c>
      <c r="F31" s="21" t="s">
        <v>113</v>
      </c>
      <c r="G31" s="14" t="s">
        <v>114</v>
      </c>
      <c r="H31" s="47" t="s">
        <v>115</v>
      </c>
      <c r="I31" s="14" t="s">
        <v>116</v>
      </c>
      <c r="J31" s="14" t="s">
        <v>117</v>
      </c>
      <c r="K31" s="15"/>
      <c r="L31" s="14"/>
      <c r="M31" s="15"/>
      <c r="N31" s="20" t="s">
        <v>118</v>
      </c>
    </row>
    <row r="32" ht="15.0" customHeight="1">
      <c r="A32" s="48"/>
      <c r="B32" s="49"/>
      <c r="C32" s="50"/>
      <c r="D32" s="51"/>
      <c r="E32" s="50"/>
      <c r="F32" s="48"/>
      <c r="G32" s="48"/>
      <c r="H32" s="48"/>
      <c r="I32" s="48"/>
      <c r="J32" s="48"/>
      <c r="K32" s="48"/>
      <c r="L32" s="48"/>
      <c r="M32" s="48"/>
      <c r="N32" s="48"/>
    </row>
    <row r="33" ht="15.0" customHeight="1">
      <c r="A33" s="15"/>
      <c r="B33" s="45"/>
      <c r="C33" s="45"/>
      <c r="D33" s="14" t="s">
        <v>72</v>
      </c>
      <c r="E33" s="16" t="s">
        <v>15</v>
      </c>
      <c r="F33" s="14" t="s">
        <v>119</v>
      </c>
      <c r="G33" s="15"/>
      <c r="H33" s="20" t="s">
        <v>74</v>
      </c>
      <c r="I33" s="20" t="s">
        <v>120</v>
      </c>
      <c r="J33" s="15"/>
      <c r="K33" s="15"/>
      <c r="L33" s="15"/>
      <c r="M33" s="15"/>
      <c r="N33" s="15"/>
    </row>
    <row r="34" ht="15.0" customHeight="1">
      <c r="A34" s="15"/>
      <c r="B34" s="45"/>
      <c r="C34" s="45"/>
      <c r="E34" s="52"/>
      <c r="F34" s="15"/>
      <c r="G34" s="15"/>
      <c r="H34" s="15"/>
      <c r="I34" s="15"/>
      <c r="J34" s="15"/>
      <c r="K34" s="15"/>
      <c r="L34" s="15"/>
      <c r="M34" s="15"/>
      <c r="N34" s="15"/>
    </row>
    <row r="35" ht="15.0" customHeight="1">
      <c r="A35" s="15"/>
      <c r="B35" s="45"/>
      <c r="C35" s="45"/>
      <c r="D35" s="15"/>
      <c r="E35" s="52"/>
      <c r="F35" s="15"/>
      <c r="G35" s="15"/>
      <c r="H35" s="15"/>
      <c r="I35" s="15"/>
      <c r="J35" s="15"/>
      <c r="K35" s="15"/>
      <c r="L35" s="15"/>
      <c r="M35" s="15"/>
      <c r="N35" s="15"/>
    </row>
    <row r="36" ht="15.0" customHeight="1">
      <c r="A36" s="15"/>
      <c r="B36" s="45"/>
      <c r="C36" s="45"/>
      <c r="D36" s="15"/>
      <c r="E36" s="52"/>
      <c r="F36" s="15"/>
      <c r="G36" s="15"/>
      <c r="H36" s="15"/>
      <c r="I36" s="15"/>
      <c r="J36" s="15"/>
      <c r="K36" s="15"/>
      <c r="L36" s="15"/>
      <c r="M36" s="15"/>
      <c r="N36" s="15"/>
    </row>
    <row r="37" ht="15.0" customHeight="1">
      <c r="A37" s="7" t="s">
        <v>121</v>
      </c>
    </row>
    <row r="38" ht="15.0" customHeight="1">
      <c r="A38" s="53">
        <v>1.0</v>
      </c>
      <c r="B38" s="54">
        <v>0.7083333333333334</v>
      </c>
      <c r="C38" s="11"/>
      <c r="D38" s="12" t="s">
        <v>25</v>
      </c>
      <c r="E38" s="16" t="s">
        <v>15</v>
      </c>
      <c r="F38" s="12" t="s">
        <v>26</v>
      </c>
      <c r="G38" s="12" t="s">
        <v>122</v>
      </c>
      <c r="H38" s="25" t="s">
        <v>28</v>
      </c>
      <c r="I38" s="55"/>
      <c r="J38" s="23" t="s">
        <v>30</v>
      </c>
      <c r="K38" s="56" t="s">
        <v>123</v>
      </c>
      <c r="L38" s="14"/>
      <c r="M38" s="14"/>
      <c r="N38" s="14"/>
    </row>
    <row r="39" ht="15.0" customHeight="1">
      <c r="A39" s="53">
        <v>2.0</v>
      </c>
      <c r="B39" s="57" t="s">
        <v>124</v>
      </c>
      <c r="C39" s="11"/>
      <c r="D39" s="14"/>
      <c r="E39" s="16"/>
      <c r="F39" s="14"/>
      <c r="G39" s="14"/>
      <c r="H39" s="14"/>
      <c r="I39" s="58"/>
      <c r="J39" s="14"/>
      <c r="K39" s="14"/>
      <c r="L39" s="14"/>
      <c r="M39" s="15"/>
      <c r="N39" s="14"/>
    </row>
    <row r="40" ht="15.0" customHeight="1">
      <c r="A40" s="53">
        <v>3.0</v>
      </c>
      <c r="B40" s="57" t="s">
        <v>125</v>
      </c>
      <c r="C40" s="11"/>
      <c r="D40" s="12" t="s">
        <v>55</v>
      </c>
      <c r="E40" s="16"/>
      <c r="F40" s="12" t="s">
        <v>126</v>
      </c>
      <c r="G40" s="14" t="s">
        <v>57</v>
      </c>
      <c r="H40" s="12"/>
      <c r="I40" s="59" t="s">
        <v>127</v>
      </c>
      <c r="J40" s="14"/>
      <c r="K40" s="14"/>
      <c r="L40" s="14"/>
      <c r="M40" s="15"/>
      <c r="N40" s="15"/>
    </row>
    <row r="41" ht="15.0" customHeight="1">
      <c r="A41" s="53">
        <v>4.0</v>
      </c>
      <c r="B41" s="57" t="s">
        <v>128</v>
      </c>
      <c r="C41" s="11"/>
      <c r="D41" s="12" t="s">
        <v>129</v>
      </c>
      <c r="E41" s="16" t="s">
        <v>130</v>
      </c>
      <c r="F41" s="12" t="s">
        <v>131</v>
      </c>
      <c r="G41" s="12" t="s">
        <v>132</v>
      </c>
      <c r="H41" s="12"/>
      <c r="I41" s="13" t="s">
        <v>133</v>
      </c>
      <c r="J41" s="14"/>
      <c r="K41" s="14"/>
      <c r="L41" s="14"/>
      <c r="M41" s="14"/>
      <c r="N41" s="14"/>
    </row>
    <row r="42" ht="15.0" customHeight="1">
      <c r="A42" s="53">
        <v>5.0</v>
      </c>
      <c r="B42" s="57" t="s">
        <v>134</v>
      </c>
      <c r="C42" s="11"/>
      <c r="D42" s="14"/>
      <c r="E42" s="16"/>
      <c r="F42" s="31"/>
      <c r="G42" s="14"/>
      <c r="H42" s="60"/>
      <c r="I42" s="14"/>
      <c r="J42" s="14"/>
      <c r="K42" s="15"/>
      <c r="L42" s="14"/>
      <c r="M42" s="14"/>
      <c r="N42" s="14"/>
    </row>
    <row r="43" ht="15.0" customHeight="1">
      <c r="A43" s="53">
        <v>6.0</v>
      </c>
      <c r="B43" s="57" t="s">
        <v>135</v>
      </c>
      <c r="C43" s="11"/>
      <c r="D43" s="12"/>
      <c r="E43" s="16"/>
      <c r="F43" s="12"/>
      <c r="G43" s="12"/>
      <c r="H43" s="12"/>
      <c r="I43" s="12"/>
      <c r="J43" s="12"/>
      <c r="K43" s="12"/>
      <c r="L43" s="14"/>
      <c r="M43" s="15"/>
      <c r="N43" s="15"/>
    </row>
    <row r="44" ht="15.0" customHeight="1">
      <c r="A44" s="53">
        <v>7.0</v>
      </c>
      <c r="B44" s="57" t="s">
        <v>136</v>
      </c>
      <c r="C44" s="11"/>
      <c r="D44" s="14" t="s">
        <v>137</v>
      </c>
      <c r="E44" s="16" t="s">
        <v>15</v>
      </c>
      <c r="F44" s="14" t="s">
        <v>138</v>
      </c>
      <c r="G44" s="14" t="s">
        <v>139</v>
      </c>
      <c r="H44" s="14"/>
      <c r="I44" s="20" t="s">
        <v>140</v>
      </c>
      <c r="J44" s="30"/>
      <c r="K44" s="30"/>
      <c r="L44" s="14"/>
      <c r="M44" s="15"/>
      <c r="N44" s="15"/>
    </row>
    <row r="45" ht="15.0" customHeight="1">
      <c r="A45" s="53">
        <v>8.0</v>
      </c>
      <c r="B45" s="57" t="s">
        <v>141</v>
      </c>
      <c r="C45" s="11"/>
      <c r="D45" s="12" t="s">
        <v>67</v>
      </c>
      <c r="E45" s="16" t="s">
        <v>15</v>
      </c>
      <c r="F45" s="14" t="s">
        <v>142</v>
      </c>
      <c r="G45" s="14" t="s">
        <v>69</v>
      </c>
      <c r="H45" s="20" t="s">
        <v>143</v>
      </c>
      <c r="I45" s="20" t="s">
        <v>144</v>
      </c>
      <c r="J45" s="14"/>
      <c r="K45" s="14"/>
      <c r="L45" s="14"/>
      <c r="M45" s="15"/>
      <c r="N45" s="15"/>
    </row>
    <row r="46" ht="15.0" customHeight="1">
      <c r="A46" s="53">
        <v>9.0</v>
      </c>
      <c r="B46" s="57" t="s">
        <v>145</v>
      </c>
      <c r="C46" s="11"/>
      <c r="D46" s="14" t="s">
        <v>146</v>
      </c>
      <c r="E46" s="16" t="s">
        <v>15</v>
      </c>
      <c r="F46" s="14" t="s">
        <v>147</v>
      </c>
      <c r="G46" s="14"/>
      <c r="H46" s="20" t="s">
        <v>148</v>
      </c>
      <c r="I46" s="13" t="s">
        <v>149</v>
      </c>
      <c r="J46" s="19"/>
      <c r="K46" s="14"/>
      <c r="L46" s="14"/>
      <c r="M46" s="15"/>
      <c r="N46" s="14"/>
    </row>
    <row r="47" ht="15.0" customHeight="1">
      <c r="A47" s="53">
        <v>10.0</v>
      </c>
      <c r="B47" s="57" t="s">
        <v>150</v>
      </c>
      <c r="C47" s="11"/>
      <c r="D47" s="14"/>
      <c r="E47" s="16"/>
      <c r="F47" s="14"/>
      <c r="G47" s="14"/>
      <c r="H47" s="12"/>
      <c r="I47" s="61"/>
      <c r="J47" s="15"/>
      <c r="K47" s="15"/>
      <c r="L47" s="15"/>
      <c r="M47" s="15"/>
      <c r="N47" s="15"/>
    </row>
    <row r="48" ht="15.0" customHeight="1">
      <c r="A48" s="53">
        <v>11.0</v>
      </c>
      <c r="B48" s="57" t="s">
        <v>151</v>
      </c>
      <c r="C48" s="11"/>
      <c r="D48" s="14"/>
      <c r="E48" s="16"/>
      <c r="F48" s="62"/>
      <c r="G48" s="63"/>
      <c r="H48" s="55"/>
      <c r="I48" s="14"/>
      <c r="J48" s="14"/>
      <c r="K48" s="15"/>
      <c r="L48" s="14"/>
      <c r="M48" s="14"/>
      <c r="N48" s="15"/>
    </row>
    <row r="49" ht="15.0" customHeight="1">
      <c r="A49" s="53">
        <v>12.0</v>
      </c>
      <c r="B49" s="57" t="s">
        <v>152</v>
      </c>
      <c r="C49" s="11"/>
      <c r="D49" s="14"/>
      <c r="E49" s="16"/>
      <c r="F49" s="9"/>
      <c r="G49" s="12"/>
      <c r="H49" s="62"/>
      <c r="I49" s="64"/>
      <c r="J49" s="14"/>
      <c r="K49" s="14"/>
      <c r="L49" s="14"/>
      <c r="M49" s="14"/>
      <c r="N49" s="15"/>
    </row>
    <row r="50" ht="15.0" customHeight="1">
      <c r="A50" s="53">
        <v>13.0</v>
      </c>
      <c r="B50" s="57" t="s">
        <v>153</v>
      </c>
      <c r="C50" s="45"/>
      <c r="D50" s="14"/>
      <c r="E50" s="16"/>
      <c r="F50" s="14"/>
      <c r="G50" s="63"/>
      <c r="H50" s="12"/>
      <c r="I50" s="14"/>
      <c r="J50" s="14"/>
      <c r="K50" s="14"/>
      <c r="L50" s="14"/>
      <c r="M50" s="15"/>
      <c r="N50" s="15"/>
    </row>
    <row r="51" ht="15.0" customHeight="1">
      <c r="A51" s="65"/>
      <c r="B51" s="66"/>
      <c r="C51" s="66"/>
      <c r="D51" s="67"/>
      <c r="E51" s="65"/>
      <c r="F51" s="65"/>
      <c r="G51" s="65"/>
      <c r="H51" s="65"/>
      <c r="I51" s="65"/>
      <c r="J51" s="65"/>
      <c r="K51" s="65"/>
      <c r="L51" s="65"/>
      <c r="M51" s="65"/>
      <c r="N51" s="65"/>
    </row>
    <row r="52" ht="15.0" customHeight="1">
      <c r="A52" s="65"/>
      <c r="B52" s="66"/>
      <c r="C52" s="66"/>
      <c r="D52" s="67"/>
      <c r="E52" s="65"/>
      <c r="F52" s="65"/>
      <c r="G52" s="65"/>
      <c r="H52" s="65"/>
      <c r="I52" s="65"/>
      <c r="J52" s="65"/>
      <c r="K52" s="65"/>
      <c r="L52" s="65"/>
      <c r="M52" s="65"/>
      <c r="N52" s="65"/>
    </row>
  </sheetData>
  <mergeCells count="5">
    <mergeCell ref="A1:K1"/>
    <mergeCell ref="A3:N3"/>
    <mergeCell ref="A4:K4"/>
    <mergeCell ref="A23:N23"/>
    <mergeCell ref="A37:N37"/>
  </mergeCells>
  <hyperlinks>
    <hyperlink r:id="rId1" location="slide=id.g207df311e5_1_167" ref="I5"/>
    <hyperlink r:id="rId2" ref="H11"/>
    <hyperlink r:id="rId3" location="slide=id.g23b1f327ef_0_0" ref="I11"/>
    <hyperlink r:id="rId4" ref="H12"/>
    <hyperlink r:id="rId5" location="slide=id.g2189fb8b12_0_28" ref="I12"/>
    <hyperlink r:id="rId6" ref="I13"/>
    <hyperlink r:id="rId7" ref="I15"/>
    <hyperlink r:id="rId8" ref="I18"/>
    <hyperlink r:id="rId9" ref="I19"/>
    <hyperlink r:id="rId10" ref="N19"/>
    <hyperlink r:id="rId11" ref="H20"/>
    <hyperlink r:id="rId12" ref="I20"/>
    <hyperlink r:id="rId13" ref="H21"/>
    <hyperlink r:id="rId14" location="slide=id.p" ref="I21"/>
    <hyperlink r:id="rId15" ref="I25"/>
    <hyperlink r:id="rId16" ref="H26"/>
    <hyperlink r:id="rId17" ref="I26"/>
    <hyperlink r:id="rId18" ref="H27"/>
    <hyperlink r:id="rId19" location="slide=id.g23b2dd6206_0_41" ref="I27"/>
    <hyperlink r:id="rId20" ref="I28"/>
    <hyperlink r:id="rId21" ref="H29"/>
    <hyperlink r:id="rId22" ref="I29"/>
    <hyperlink r:id="rId23" ref="N29"/>
    <hyperlink r:id="rId24" ref="H30"/>
    <hyperlink r:id="rId25" ref="I30"/>
    <hyperlink r:id="rId26" ref="H31"/>
    <hyperlink r:id="rId27" ref="N31"/>
    <hyperlink r:id="rId28" ref="H33"/>
    <hyperlink r:id="rId29" location="slide=id.p" ref="I33"/>
    <hyperlink r:id="rId30" ref="H38"/>
    <hyperlink r:id="rId31" ref="I40"/>
    <hyperlink r:id="rId32" ref="I41"/>
    <hyperlink r:id="rId33" ref="I44"/>
    <hyperlink r:id="rId34" ref="H45"/>
    <hyperlink r:id="rId35" ref="I45"/>
    <hyperlink r:id="rId36" ref="H46"/>
    <hyperlink r:id="rId37" ref="I46"/>
  </hyperlinks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68" t="s">
        <v>154</v>
      </c>
      <c r="L1" s="69">
        <v>101.0</v>
      </c>
      <c r="S1" s="70">
        <v>108.0</v>
      </c>
    </row>
    <row r="2" ht="39.0" customHeight="1">
      <c r="A2" s="45"/>
      <c r="B2" s="71" t="s">
        <v>155</v>
      </c>
      <c r="C2" s="72"/>
      <c r="D2" s="72"/>
      <c r="E2" s="72"/>
      <c r="F2" s="72"/>
      <c r="G2" s="73"/>
      <c r="H2" s="45"/>
      <c r="I2" s="45"/>
      <c r="J2" s="45"/>
      <c r="K2" s="45"/>
      <c r="L2" s="74" t="s">
        <v>156</v>
      </c>
      <c r="M2" s="72"/>
      <c r="N2" s="72"/>
      <c r="O2" s="72"/>
      <c r="P2" s="72"/>
      <c r="Q2" s="45"/>
      <c r="R2" s="45"/>
      <c r="S2" s="68" t="s">
        <v>157</v>
      </c>
      <c r="T2" s="45"/>
      <c r="U2" s="68" t="s">
        <v>156</v>
      </c>
      <c r="X2" s="45"/>
    </row>
    <row r="3" ht="39.0" customHeight="1">
      <c r="A3" s="75"/>
      <c r="C3" s="12"/>
      <c r="D3" s="76"/>
      <c r="E3" s="77"/>
      <c r="F3" s="77"/>
      <c r="G3" s="78"/>
      <c r="H3" s="45"/>
      <c r="I3" s="45"/>
      <c r="J3" s="45"/>
      <c r="K3" s="75"/>
      <c r="L3" s="77"/>
      <c r="M3" s="76"/>
      <c r="O3" s="76"/>
      <c r="P3" s="77"/>
      <c r="Q3" s="79"/>
      <c r="R3" s="45"/>
      <c r="S3" s="77"/>
      <c r="T3" s="77"/>
      <c r="U3" s="77"/>
      <c r="V3" s="77"/>
      <c r="W3" s="77"/>
      <c r="X3" s="45"/>
    </row>
    <row r="4" ht="39.0" customHeight="1">
      <c r="A4" s="75"/>
      <c r="B4" s="77"/>
      <c r="C4" s="76"/>
      <c r="D4" s="77"/>
      <c r="E4" s="14"/>
      <c r="F4" s="77"/>
      <c r="G4" s="80" t="s">
        <v>158</v>
      </c>
      <c r="H4" s="45"/>
      <c r="I4" s="45"/>
      <c r="J4" s="45"/>
      <c r="K4" s="75"/>
      <c r="L4" s="76"/>
      <c r="M4" s="77"/>
      <c r="N4" s="14"/>
      <c r="O4" s="81"/>
      <c r="P4" s="77"/>
      <c r="Q4" s="79"/>
      <c r="R4" s="45"/>
      <c r="S4" s="77"/>
      <c r="T4" s="77"/>
      <c r="U4" s="76"/>
      <c r="V4" s="81"/>
      <c r="W4" s="76"/>
      <c r="X4" s="45"/>
    </row>
    <row r="5" ht="39.0" customHeight="1">
      <c r="A5" s="75"/>
      <c r="B5" s="77"/>
      <c r="C5" s="77"/>
      <c r="D5" s="76"/>
      <c r="E5" s="77"/>
      <c r="F5" s="77"/>
      <c r="G5" s="77"/>
      <c r="H5" s="45"/>
      <c r="I5" s="45"/>
      <c r="J5" s="45"/>
      <c r="K5" s="75"/>
      <c r="L5" s="77"/>
      <c r="M5" s="77"/>
      <c r="N5" s="76"/>
      <c r="O5" s="77"/>
      <c r="P5" s="76"/>
      <c r="Q5" s="79"/>
      <c r="R5" s="45"/>
      <c r="S5" s="77"/>
      <c r="T5" s="77"/>
      <c r="U5" s="76"/>
      <c r="V5" s="77"/>
      <c r="W5" s="77"/>
      <c r="X5" s="45"/>
    </row>
    <row r="6" ht="39.0" customHeight="1">
      <c r="A6" s="75"/>
      <c r="B6" s="77"/>
      <c r="C6" s="77"/>
      <c r="D6" s="77"/>
      <c r="E6" s="81"/>
      <c r="F6" s="77"/>
      <c r="G6" s="78"/>
      <c r="H6" s="45"/>
      <c r="I6" s="45"/>
      <c r="J6" s="45"/>
      <c r="K6" s="75"/>
      <c r="L6" s="77"/>
      <c r="M6" s="77"/>
      <c r="N6" s="76"/>
      <c r="O6" s="77"/>
      <c r="P6" s="77"/>
      <c r="Q6" s="79"/>
      <c r="R6" s="45"/>
      <c r="S6" s="77"/>
      <c r="T6" s="77"/>
      <c r="U6" s="76"/>
      <c r="V6" s="77"/>
      <c r="W6" s="77"/>
      <c r="X6" s="45"/>
    </row>
    <row r="7" ht="39.0" customHeight="1">
      <c r="A7" s="75"/>
      <c r="B7" s="77"/>
      <c r="C7" s="82"/>
      <c r="D7" s="77"/>
      <c r="E7" s="77"/>
      <c r="F7" s="77"/>
      <c r="G7" s="80" t="s">
        <v>157</v>
      </c>
      <c r="H7" s="45"/>
      <c r="I7" s="45"/>
      <c r="J7" s="45"/>
      <c r="K7" s="75"/>
      <c r="L7" s="77"/>
      <c r="M7" s="76"/>
      <c r="N7" s="76"/>
      <c r="O7" s="76"/>
      <c r="P7" s="77"/>
      <c r="Q7" s="79"/>
      <c r="R7" s="45"/>
      <c r="S7" s="77"/>
      <c r="T7" s="77"/>
      <c r="U7" s="76"/>
      <c r="V7" s="77"/>
      <c r="W7" s="77"/>
      <c r="X7" s="45"/>
    </row>
    <row r="8" ht="39.0" customHeight="1">
      <c r="A8" s="75"/>
      <c r="B8" s="77"/>
      <c r="C8" s="83"/>
      <c r="D8" s="77"/>
      <c r="E8" s="77"/>
      <c r="F8" s="77"/>
      <c r="G8" s="77"/>
      <c r="H8" s="12"/>
      <c r="I8" s="12"/>
      <c r="J8" s="12"/>
      <c r="K8" s="84" t="s">
        <v>157</v>
      </c>
      <c r="L8" s="77"/>
      <c r="M8" s="77"/>
      <c r="N8" s="76"/>
      <c r="O8" s="85"/>
      <c r="P8" s="77"/>
      <c r="Q8" s="79"/>
      <c r="R8" s="45"/>
      <c r="S8" s="77"/>
      <c r="T8" s="77"/>
      <c r="U8" s="81"/>
      <c r="V8" s="77"/>
      <c r="W8" s="77"/>
      <c r="X8" s="45"/>
    </row>
    <row r="9" ht="39.0" customHeight="1">
      <c r="A9" s="75"/>
      <c r="B9" s="77"/>
      <c r="C9" s="77"/>
      <c r="D9" s="77"/>
      <c r="E9" s="77"/>
      <c r="F9" s="77"/>
      <c r="G9" s="77"/>
      <c r="H9" s="45"/>
      <c r="I9" s="45"/>
      <c r="J9" s="45"/>
      <c r="K9" s="75"/>
      <c r="L9" s="77"/>
      <c r="M9" s="77"/>
      <c r="N9" s="77"/>
      <c r="O9" s="77"/>
      <c r="P9" s="78"/>
      <c r="Q9" s="79"/>
      <c r="R9" s="45"/>
      <c r="S9" s="77"/>
      <c r="T9" s="77"/>
      <c r="U9" s="77"/>
      <c r="V9" s="77"/>
      <c r="W9" s="78"/>
      <c r="X9" s="45"/>
    </row>
    <row r="10" ht="39.0" customHeight="1">
      <c r="A10" s="45"/>
      <c r="B10" s="86"/>
      <c r="C10" s="86"/>
      <c r="D10" s="86"/>
      <c r="E10" s="86"/>
      <c r="F10" s="86"/>
      <c r="G10" s="86"/>
      <c r="H10" s="45"/>
      <c r="I10" s="45"/>
      <c r="J10" s="45"/>
      <c r="K10" s="45"/>
      <c r="L10" s="86"/>
      <c r="M10" s="86"/>
      <c r="N10" s="86"/>
      <c r="O10" s="86"/>
      <c r="P10" s="86"/>
      <c r="Q10" s="45"/>
      <c r="R10" s="45"/>
      <c r="S10" s="45"/>
      <c r="T10" s="45"/>
      <c r="U10" s="45"/>
      <c r="V10" s="45"/>
      <c r="W10" s="45"/>
      <c r="X10" s="45"/>
    </row>
    <row r="11" ht="39.0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</row>
    <row r="12" ht="39.0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 ht="39.0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 ht="39.0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 ht="39.0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ht="39.0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ht="39.0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</row>
    <row r="18" ht="39.0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 ht="39.0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ht="39.0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ht="39.0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ht="39.0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ht="39.0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ht="39.0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ht="39.0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ht="39.0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ht="39.0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ht="39.0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ht="39.0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ht="39.0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ht="39.0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ht="39.0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ht="39.0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 ht="39.0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 ht="39.0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 ht="39.0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 ht="39.0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ht="39.0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ht="39.0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ht="39.0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ht="39.0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ht="39.0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ht="39.0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ht="39.0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ht="39.0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ht="39.0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ht="39.0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ht="39.0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ht="39.0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ht="39.0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ht="39.0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ht="39.0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ht="39.0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ht="39.0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ht="39.0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ht="39.0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ht="39.0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ht="39.0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ht="39.0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ht="39.0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ht="39.0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ht="39.0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ht="39.0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ht="39.0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ht="39.0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ht="39.0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ht="39.0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ht="39.0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ht="39.0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ht="39.0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ht="39.0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ht="39.0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ht="39.0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ht="39.0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ht="39.0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ht="39.0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ht="39.0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ht="39.0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ht="39.0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ht="39.0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ht="39.0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ht="39.0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ht="39.0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ht="39.0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ht="39.0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ht="39.0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ht="39.0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ht="39.0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ht="39.0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ht="39.0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ht="39.0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ht="39.0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ht="39.0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ht="39.0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ht="39.0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ht="39.0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ht="39.0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ht="39.0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ht="39.0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ht="39.0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ht="39.0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