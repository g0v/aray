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<sst xmlns="http://schemas.openxmlformats.org/spreadsheetml/2006/main" count="465" uniqueCount="321">
  <si>
    <t>aA</t>
  </si>
  <si>
    <t>發表時間
Time</t>
  </si>
  <si>
    <t>QQQQQ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</si>
  <si>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</si>
  <si>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</si>
  <si>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</si>
  <si>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</si>
  <si>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</si>
  <si>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</si>
  <si>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r>
      <rPr>
        <b/>
        <sz val="9.0"/>
      </rPr>
      <t xml:space="preserve">g0v Podcast
</t>
    </r>
    <r>
      <rPr>
        <b/>
        <color rgb="FF1155CC"/>
        <sz val="9.0"/>
      </rPr>
      <t>松後推坑電台</t>
    </r>
    <r>
      <rPr>
        <b/>
        <sz val="9.0"/>
      </rPr>
      <t xml:space="preserve">
受訪意願? (Y/?)</t>
    </r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</si>
  <si>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</si>
  <si>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</si>
  <si>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</si>
  <si>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</si>
  <si>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</si>
  <si>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Ways to contact the project owner</t>
  </si>
  <si>
    <r>
      <rPr>
        <b/>
        <sz val="9.0"/>
      </rPr>
      <t xml:space="preserve">無法實體來到大松的坑主，請務必填寫 </t>
    </r>
    <r>
      <rPr>
        <b/>
        <color rgb="FF1155CC"/>
        <sz val="9.0"/>
      </rPr>
      <t xml:space="preserve">大松當天線上協作 </t>
    </r>
    <r>
      <rPr>
        <b/>
        <sz val="9.0"/>
      </rPr>
      <t>連結（包含但不限於：google meet、Jitsi）</t>
    </r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</si>
  <si>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</si>
  <si>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</si>
  <si>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</si>
  <si>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</si>
  <si>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r>
      <rPr>
        <color rgb="FFFF9900"/>
      </rPr>
      <t>＊無法實體出席者，建議以預錄影片提案。並將提案影片連結填在欄位「R：youtube url 或是 預錄影片」，並於 Q 欄填寫線上開坑連結。</t>
    </r>
    <r>
      <rPr>
        <color rgb="FF000000"/>
        <u/>
      </rPr>
      <t>新手教學投影片</t>
    </r>
  </si>
  <si>
    <r>
      <rPr>
        <color rgb="FF000000"/>
        <sz val="10.0"/>
      </rPr>
      <t xml:space="preserve">開場互動遊戲：你是誰我是誰點我玩一下就知道 </t>
    </r>
    <r>
      <rPr>
        <color rgb="FF1155CC"/>
        <sz val="10.0"/>
        <u/>
      </rPr>
      <t>https://app.sli.do/event/wDpDgT6tsXS7ExP49cHwJz</t>
    </r>
  </si>
  <si>
    <t>Stamford</t>
  </si>
  <si>
    <t>預錄影片</t>
  </si>
  <si>
    <t>Arm0ry</t>
  </si>
  <si>
    <t>鏈上大松 💗</t>
  </si>
  <si>
    <t>CC BY</t>
  </si>
  <si>
    <t>Y</t>
  </si>
  <si>
    <t>https://docs.google.com/presentation/d/1CHLvoQYPSa7tcdhI4a6lWD0mG_GzeCu0_SwnhB7WSZ8/edit?usp=sharing</t>
  </si>
  <si>
    <t>web3、代幣經濟、社區發展應用</t>
  </si>
  <si>
    <t>前端設計（只要有興趣的都歡迎）</t>
  </si>
  <si>
    <t>g0v slack @Stamford, g0v slack @Zoey Tseng</t>
  </si>
  <si>
    <t>現場請找代理坑主 Zoey!</t>
  </si>
  <si>
    <t>https://youtu.be/hzMwGW9l_aM</t>
  </si>
  <si>
    <t>irvin</t>
  </si>
  <si>
    <t>實體</t>
  </si>
  <si>
    <t>中共封鎖台灣網路時，還能買 pchome 嗎？重要數位服務韌性檢測</t>
  </si>
  <si>
    <t>台灣是個四面環海的島，當發生天災人禍時，都可能造成對外網路中斷。此時，歲月靜好的台灣人，還能上網買 pchome 嗎？</t>
  </si>
  <si>
    <t>CC0</t>
  </si>
  <si>
    <t>https://g0v.hackmd.io/@irvin/digital-services-resilience</t>
  </si>
  <si>
    <t>https://g0v.hackmd.io/x4cR0BtxTf6eLw_6vaPY3A#服務韌性檢測方式（wip）</t>
  </si>
  <si>
    <t>數位韌性、民生</t>
  </si>
  <si>
    <t>人工檢核其他民生網站、寫 script 規模化</t>
  </si>
  <si>
    <t>g0v slack #civil-defense</t>
  </si>
  <si>
    <t>進良Thomas</t>
  </si>
  <si>
    <t>藥學．要學：AI驅動的個人化精準學習</t>
  </si>
  <si>
    <t>專業領域的教育方法創新台灣落地</t>
  </si>
  <si>
    <t>CC BY-NC-SA</t>
  </si>
  <si>
    <t xml:space="preserve">Y </t>
  </si>
  <si>
    <t>https://g0v.hackmd.io/8PYVkjW_RuSGFlIYJnGKoA?view</t>
  </si>
  <si>
    <t>https://docs.google.com/presentation/d/1DbdkOsZXAbQevztzgF19RQxlMbn5wlP5JK0liTsfAlU/edit?usp=sharing</t>
  </si>
  <si>
    <t>專業領域的教育方法創新、LLM微調、藥學國考</t>
  </si>
  <si>
    <t>好奇的人、願意一起討論整理資料的人、想要一起開發的人</t>
  </si>
  <si>
    <t>g0v slack #aipharmastudyboost</t>
  </si>
  <si>
    <t>Peter</t>
  </si>
  <si>
    <t xml:space="preserve">summit 2024 </t>
  </si>
  <si>
    <t xml:space="preserve">g0v summit 2024 </t>
  </si>
  <si>
    <t xml:space="preserve">CC BY SA </t>
  </si>
  <si>
    <t xml:space="preserve">y </t>
  </si>
  <si>
    <t>https://g0v.hackmd.io/@summit2024/book/https%3A%2F%2Fg0v.hackmd.io%2FdttYgGq1SmqCCp4ZntffZw</t>
  </si>
  <si>
    <t>https://docs.google.com/presentation/d/1Za5iS60zRP2hrNESLcP5lT2dAGV-X0ybybPTkcPumIw/edit?usp=sharing</t>
  </si>
  <si>
    <t>場務人員、議程助理、投稿～</t>
  </si>
  <si>
    <t>場務人員、議程助理</t>
  </si>
  <si>
    <t>g0v slack #summit-2024-bootstrap</t>
  </si>
  <si>
    <t>宥伯=工友=unknow</t>
  </si>
  <si>
    <t>資料治理與公私協力的可能性</t>
  </si>
  <si>
    <t>年度開放資料更新、公私協力專案、持續投入</t>
  </si>
  <si>
    <t>CC BY-NC-SA-ND</t>
  </si>
  <si>
    <r>
      <rPr/>
      <t xml:space="preserve">簡介 &amp; 共筆 </t>
    </r>
    <r>
      <rPr>
        <color rgb="FF1155CC"/>
        <u/>
      </rPr>
      <t>https://docs.google.com/presentation/d/11_XsUYC94LMdhZlS7nOZwbmlUgP76MEp/edit?usp=sharing&amp;ouid=106480865234997671288&amp;rtpof=true&amp;sd=true</t>
    </r>
    <r>
      <rPr/>
      <t xml:space="preserve"> 
共筆</t>
    </r>
    <r>
      <rPr>
        <color rgb="FF1155CC"/>
        <u/>
      </rPr>
      <t xml:space="preserve">https://docs.google.com/document/d/1XvwPzErp951BAQLKv7A5yO0sB5XZhnrb1ucWWroQ9YQ/edit?usp=sharing
</t>
    </r>
  </si>
  <si>
    <t>https://tech.ardswc.gov.tw/?lang=%2F</t>
  </si>
  <si>
    <t>歷史影像平台
農村水保署-公開資料
農業科技研究院-研究成果</t>
  </si>
  <si>
    <t>PM、研究者</t>
  </si>
  <si>
    <t>g0v slack @unknow
頻道 #research  共筆</t>
  </si>
  <si>
    <t>https://www.youtube.com/@user-kc1pw5oy2p</t>
  </si>
  <si>
    <t>Vanbart帕奇</t>
  </si>
  <si>
    <t>該找誰談談psychmatch</t>
  </si>
  <si>
    <t>建構心理資源搜尋平台</t>
  </si>
  <si>
    <t>該找誰談談 Psychmatch - HackMD</t>
  </si>
  <si>
    <t>https://docs.google.com/presentation/d/1qq_CTCULDj9LUvoP-J7YPSr_3zinICK3GoIyl6kDtMY/edit?usp=drive_link</t>
  </si>
  <si>
    <t>心理健康</t>
  </si>
  <si>
    <t>有興趣的人來聊聊吧～</t>
  </si>
  <si>
    <t>g0v slack @psychmatch_public</t>
  </si>
  <si>
    <t>劉康慧教授助理與三位同學</t>
  </si>
  <si>
    <t>關於黑客松活動挑戰的經驗分享與挑戰內容</t>
  </si>
  <si>
    <t>開放創新的研究問卷</t>
  </si>
  <si>
    <t>填寫問卷前會發放知情同意書說明研究內容，問卷內容包含分享參與黑客松活動挑戰的動機與經驗</t>
  </si>
  <si>
    <t>島島阿學</t>
  </si>
  <si>
    <t>找夥伴與揪團功能</t>
  </si>
  <si>
    <t>找夥伴與揪團功能終於出爐！邀請大家來測試！</t>
  </si>
  <si>
    <t>CC
LGPL</t>
  </si>
  <si>
    <t>https://docs.google.com/presentation/d/12fY5O0rfq7sCrVKo2AIElzprAHoD_7tr/edit#slide=id.g2be7f10a6e8_0_30</t>
  </si>
  <si>
    <t>自主學習、學習夥伴、徵求測試</t>
  </si>
  <si>
    <t>測試者</t>
  </si>
  <si>
    <t>g0v slack #edu-daodao</t>
  </si>
  <si>
    <t>Allen</t>
  </si>
  <si>
    <t xml:space="preserve">Wikidata </t>
  </si>
  <si>
    <t>Open Data Day 與 Wikidata</t>
  </si>
  <si>
    <t>https://hackmd.io/@wikidata-tw/H1q_IpzEu</t>
  </si>
  <si>
    <t>https://slides.com/allenwang6212/wikidatag0v61st/</t>
  </si>
  <si>
    <t>資料彙整、不用寫程式、開放資料</t>
  </si>
  <si>
    <t>整理資料</t>
  </si>
  <si>
    <t>g0v slack #wikidatataiwan</t>
  </si>
  <si>
    <t>YuTin</t>
  </si>
  <si>
    <t>Public Code</t>
  </si>
  <si>
    <t>code.gov.tw</t>
  </si>
  <si>
    <t>MIT / ToDo</t>
  </si>
  <si>
    <t>https://www.canva.com/design/DAF-RnrVm48/-fh84vVVxluYWXPWAIdGtg/edit</t>
  </si>
  <si>
    <t>https://github.com/mutix-co/codegov/</t>
  </si>
  <si>
    <t>Moritz</t>
  </si>
  <si>
    <t>GuanDOOM</t>
  </si>
  <si>
    <t>Deliberate open-source omniscient map</t>
  </si>
  <si>
    <t>CC-BY</t>
  </si>
  <si>
    <t>https://docs.google.com/document/d/1EeOM_Mi04UGRNd7MqYrvCsUEfN5VOTo-hH9CKPa2f9I/edit?usp=sharing</t>
  </si>
  <si>
    <t>https://www.figma.com/file/5BZh0ZBYcNcQNmv86xITe1/Property-listing-website-concept-(Community)?type=design&amp;node-id=0%3A1&amp;mode=design&amp;t=LF0RyG0rzShFbOax-1</t>
  </si>
  <si>
    <t>mapping, Guandu, e-participation</t>
  </si>
  <si>
    <t>webdevs, e-participation folks</t>
  </si>
  <si>
    <t>g0v slack @mojoee</t>
  </si>
  <si>
    <t>Jasmine</t>
  </si>
  <si>
    <t>拉人更輕鬆</t>
  </si>
  <si>
    <t>新手友善——g0v基礎建設改良</t>
  </si>
  <si>
    <t>https://drive.google.com/file/d/18UpphP47mvH6mJptZhuPTKuEIrFyyO2a/view?usp=drivesdk</t>
  </si>
  <si>
    <t>基礎建設、新手友善、學生</t>
  </si>
  <si>
    <t>對基礎建設有想法、有興趣的人</t>
  </si>
  <si>
    <t>g0v slack @Yvonne</t>
  </si>
  <si>
    <t>Bil</t>
  </si>
  <si>
    <t>Cofacts 真的假的</t>
  </si>
  <si>
    <t>MIT, 
CC-BY-SA</t>
  </si>
  <si>
    <t>y</t>
  </si>
  <si>
    <t>https://cofacts.tw/hack</t>
  </si>
  <si>
    <t>https://docs.google.com/presentation/d/1wT5Ili0pxQNBmGaILJjadFyNKY5rK3qfBw8iArfUPOo/edit#slide=id.g28caf866bb2_1_0</t>
  </si>
  <si>
    <t>程式開發、事實查核、AI</t>
  </si>
  <si>
    <t>會 Google 找資料的人
會 NodeJS / ReactJS 的人</t>
  </si>
  <si>
    <t>g0v slack #cofacts @mrorz @bil</t>
  </si>
  <si>
    <t>Franki</t>
  </si>
  <si>
    <t>N</t>
  </si>
  <si>
    <t>永續報告書分析 aka 企業捐款與合作分析</t>
  </si>
  <si>
    <t>分析2022年的企業永續報告書，捐款跟社會共融面向的（資料已經都整理好了，欠人一起討論跟分析！）</t>
  </si>
  <si>
    <t>CC-BY-NC</t>
  </si>
  <si>
    <t>https://hackmd.io/@FrankiCheung/SJ2GOXeT6</t>
  </si>
  <si>
    <t>https://docs.google.com/presentation/d/1PULDqUBgvHi_sqz2Us3S_5lrhz1M8nNdGbb56fC1MTw/edit?usp=sharing
https://docs.google.com/spreadsheets/d/1zS_uPr32RJzreivHrWxaqJib7uLKPFYVMPi2BA6B-as/edit?usp=sharing</t>
  </si>
  <si>
    <t>永續報告書、數據分析</t>
  </si>
  <si>
    <t>數據分析</t>
  </si>
  <si>
    <t>g0v slack @Franki #企業捐款與合作分析</t>
  </si>
  <si>
    <t>救松團 chewei, Ronny</t>
  </si>
  <si>
    <t>來救松</t>
  </si>
  <si>
    <t>一起來救松</t>
  </si>
  <si>
    <t>https://g0v.hackmd.io/0_V7AdIHScOscBHTb4wmQw?view</t>
  </si>
  <si>
    <t>https://docs.google.com/presentation/d/10Or6t-f5wWC8cUcYCoWtHVo1zCa2XQLfthLyff1gYWc/edit</t>
  </si>
  <si>
    <t>歡迎定期定額捐款支持社群雲端資源與舉辦黑客松, 一起來推展募款吧~ 💰</t>
  </si>
  <si>
    <t>都很歡迎~</t>
  </si>
  <si>
    <r>
      <rPr/>
      <t xml:space="preserve">g0v slack 
</t>
    </r>
    <r>
      <rPr>
        <u/>
      </rPr>
      <t>#fundraising-救松團-募款執行</t>
    </r>
    <r>
      <rPr/>
      <t xml:space="preserve">
g0v slack @chewei @Ronny</t>
    </r>
  </si>
  <si>
    <t>== 截止 ==</t>
  </si>
  <si>
    <t>候補</t>
  </si>
  <si>
    <t>Bobby, Paul</t>
  </si>
  <si>
    <t>new safeID 換洩證號</t>
  </si>
  <si>
    <t>找到熱血律師告官啦！！不用親跑更換身分證號，也能對內政部提告！團體訴訟是免費可以參加的嗎？</t>
  </si>
  <si>
    <t>CC-BY-SA</t>
  </si>
  <si>
    <t>https://g0v.hackmd.io/yZd5nmZWRLqQ2R2kqvcNqg</t>
  </si>
  <si>
    <t>https://forms.gle/ZmmsDaXBfwyHQEfQ6</t>
  </si>
  <si>
    <t>個資隱私、反詐騙、低技術門檻
data-privacy, anti-scam, low-tech</t>
  </si>
  <si>
    <t>宜蘭縣民, 很不爽內政部洩露戶政資料的人, 會做長輩圖的人, 會寫作文的人, 會打字的人, 平面設計師, 前端開發者, 會下 prompt 生圖的人, 會創作短影音的人
who can make taiwanese boomer meme, who can compose social media post(or msg), who can type in mandarin chinese or english, graphic desinger, front-end dev, who can generate image or video with AIGC tools, who can shot or make short video (like tiktok)</t>
  </si>
  <si>
    <t>g0v slack #privacy
or
@paulpengtw</t>
  </si>
  <si>
    <t>11:00【Code for Japan 「公民科技挑戰盃 U-22（Civictech Challenge Cup U-22）」獲獎團隊分享】
每個 present 6min</t>
  </si>
  <si>
    <t>順序</t>
  </si>
  <si>
    <t>完成</t>
  </si>
  <si>
    <t>發表團隊
Team</t>
  </si>
  <si>
    <t>發表形式
Form</t>
  </si>
  <si>
    <t>錄影以 CC-BY 釋出?</t>
  </si>
  <si>
    <t>投影片連結
Slide Link</t>
  </si>
  <si>
    <t>其他相關連結
Other Links</t>
  </si>
  <si>
    <t>坑主聯絡方式
Ways to Contact the Project Founder</t>
  </si>
  <si>
    <t>Code for Japan</t>
  </si>
  <si>
    <t>實體 on-site</t>
  </si>
  <si>
    <t>Introduction: Civictech Challenge Cup U-22</t>
  </si>
  <si>
    <t>https://docs.google.com/presentation/d/18WuylEBx-OZsM6hs8hU-9QjbHXuVicMFmA1K9glUSKw/edit?usp=sharing</t>
  </si>
  <si>
    <t>CfJ, Prototype Contest, Students</t>
  </si>
  <si>
    <t>ジェルホス</t>
  </si>
  <si>
    <t xml:space="preserve">專為移動垃圾箱和減少收集工作量而設計的路線追蹤車
Line-Tracing Vehicle Designed to Move Trash Bins and Reduce Collection Effort        </t>
  </si>
  <si>
    <t>https://docs.google.com/presentation/d/1DNpHiVyKT8YuQDY1lynXSqo2qMTTBZ9d/edit</t>
  </si>
  <si>
    <t>Line-Trace, High school, IoT</t>
  </si>
  <si>
    <t>RiverPotter</t>
  </si>
  <si>
    <t>巴士延誤訊息 APP
App Visualizing Bus Delay Information</t>
  </si>
  <si>
    <t>https://docs.google.com/presentation/d/1g1XLe7HHSLylbP17cNpr6uH-tcldOOkvQJb5t4Iddo0/edit</t>
  </si>
  <si>
    <t>Bus, Transportation, App</t>
  </si>
  <si>
    <t>チーム虹色</t>
  </si>
  <si>
    <t>LGBTQ 可視化社群APP
LGBTQ Community Visualization App (2021 finalists)</t>
  </si>
  <si>
    <t>https://docs.google.com/presentation/d/1Oe1HffE3jWqgwIvKIMIDLZkItd120oOUNz2R6oI7SNQ/edit?usp=drive_link</t>
  </si>
  <si>
    <t>LGBTQ, Community, App</t>
  </si>
  <si>
    <t>Cheagle</t>
  </si>
  <si>
    <t>AI 講故事工具
AI Storytelling Tool</t>
  </si>
  <si>
    <t>https://docs.google.com/presentation/d/1Igpn9ltDsJBg7Zgf6QMSXy1d-FgG_5N8vkm8p5T0RmE/edit</t>
  </si>
  <si>
    <t>AI, Storytelling, Education</t>
  </si>
  <si>
    <t>H2O</t>
  </si>
  <si>
    <t xml:space="preserve">兒童安全上學路線地圖
Map Showing Safe Routes to School for Children        </t>
  </si>
  <si>
    <t>https://docs.google.com/presentation/d/1IzvtZMYYBjE41ijoEZVF5n3WDUBpWH6TuTWRKjyPggM/edit</t>
  </si>
  <si>
    <t>Map, Kids, Safety</t>
  </si>
  <si>
    <t>13:00 零時小學校 4th 專案孵化競賽決選日
每個 present 12 min（6 min Demo + 6 min Q&amp;A）</t>
  </si>
  <si>
    <t>BrainMate</t>
  </si>
  <si>
    <t>自學力 製學例 實驗教育資源整合平台</t>
  </si>
  <si>
    <t>Rep0rter - g0v 虛擬記者 - 每日 g0v 大小事資訊推播</t>
  </si>
  <si>
    <t>直覺物理（intuiPhysics）</t>
  </si>
  <si>
    <t>公眾領域</t>
  </si>
  <si>
    <t>https://drive.google.com/file/d/1pmGTpY4kjvYGXh8Ansv9UtGqWFdFjY6c/view?usp=drivesdk</t>
  </si>
  <si>
    <t>物理直覺、物理動畫、物理與程式教育</t>
  </si>
  <si>
    <t>中學物理教師、對物理教育有興趣的 SwiftUI 或 Web 前端工程師</t>
  </si>
  <si>
    <t>g0v Slack @denkeni or denkenie@gmail.com</t>
  </si>
  <si>
    <t>宏信</t>
  </si>
  <si>
    <t>Linux Odyssey - 互動式終端機教學網站</t>
  </si>
  <si>
    <t>GPL v3</t>
  </si>
  <si>
    <t>https://linuxodyssey.xyz</t>
  </si>
  <si>
    <t>g0v Slack linux-odyssey</t>
  </si>
  <si>
    <t>Lazp</t>
  </si>
  <si>
    <t>Dev-in.tw</t>
  </si>
  <si>
    <t>AGPL v3 CC-BY-NC-SA</t>
  </si>
  <si>
    <t>https://hackmd.io/@dev-in-tw</t>
  </si>
  <si>
    <t>https://1drv.ms/p/s!ArIHXmHqar5Lund4BsKLxeQZu5Xc?e=xO0D1U</t>
  </si>
  <si>
    <t>開發者、子網域、自動化</t>
  </si>
  <si>
    <t>前端、後端、客服人員、審核人員</t>
  </si>
  <si>
    <r>
      <rPr>
        <color rgb="FF1155CC"/>
        <u/>
      </rPr>
      <t>haco@lazco.dev</t>
    </r>
    <r>
      <rPr/>
      <t xml:space="preserve">
</t>
    </r>
    <r>
      <rPr>
        <color rgb="FF1155CC"/>
        <u/>
      </rPr>
      <t>support@lazco.dev</t>
    </r>
  </si>
  <si>
    <t>休息時間 break time</t>
  </si>
  <si>
    <t>民防下午茶 CD T-Time</t>
  </si>
  <si>
    <t>智能協同：輔協智能障礙者門市服務之混合實境技能訓練系統</t>
  </si>
  <si>
    <t>Paul</t>
  </si>
  <si>
    <t>nonprofit-helper 會務 E 化小幫手</t>
  </si>
  <si>
    <t>AGPL v3, CC-BY-SA</t>
  </si>
  <si>
    <t>https://g0v.hackmd.io/@nonprofit-helper/nonprofit-helper-home</t>
  </si>
  <si>
    <t>https://youtu.be/pJ943sP4ExI</t>
  </si>
  <si>
    <t>公益組織, 賦能, 行政作業</t>
  </si>
  <si>
    <t>非營利組織工作者, 非營利組織志工, 
後端 或  想練習刻前端的人</t>
  </si>
  <si>
    <r>
      <rPr>
        <rFont val="arial"/>
        <color rgb="FF1155CC"/>
        <u/>
      </rPr>
      <t>g0v slack @paulpengtw</t>
    </r>
    <r>
      <rPr>
        <rFont val="arial"/>
        <color rgb="FF1155CC"/>
        <u/>
      </rPr>
      <t xml:space="preserve"> or
</t>
    </r>
    <r>
      <rPr>
        <rFont val="arial"/>
        <color rgb="FF1155CC"/>
        <u/>
      </rPr>
      <t>fb.com/paulpengtw</t>
    </r>
    <r>
      <rPr>
        <rFont val="arial"/>
        <color rgb="FF1155CC"/>
        <u/>
      </rPr>
      <t xml:space="preserve"> or
</t>
    </r>
    <r>
      <rPr>
        <rFont val="arial"/>
        <color rgb="FF1155CC"/>
        <u/>
      </rPr>
      <t>nonprofit-helper@googlegroups.com</t>
    </r>
  </si>
  <si>
    <t>綠洲計畫LZGH－－引領偏鄉學子走入特殊選才</t>
  </si>
  <si>
    <t>FlowPath｜探索學習的微光時刻</t>
  </si>
  <si>
    <t>17:00【 present project】 規則：
每個 present 5min，可視 project 數量和剩餘時間調整</t>
  </si>
  <si>
    <t>如果中共拖網漁船"意外損壞"台灣對外的所有海纜，3/8 當天還能買 pchome 嗎？</t>
  </si>
  <si>
    <t>以 pchome 產品頁為例的人工檢測步驟與結果</t>
  </si>
  <si>
    <t>https://g0v.hackmd.io/x4cR0BtxTf6eLw_6vaPY3A?both#pchome-產品頁-resources-檢測結果</t>
  </si>
  <si>
    <t>script, fullstack
人工檢核員</t>
  </si>
  <si>
    <t>@irvin
g0v slack #civil-defense</t>
  </si>
  <si>
    <t>17:05</t>
  </si>
  <si>
    <t>Mark Chang</t>
  </si>
  <si>
    <t>Breeze-7B</t>
  </si>
  <si>
    <t>Open Source Traditional Chinese Language Model and Dataset for Taiwan</t>
  </si>
  <si>
    <t>https://drive.google.com/file/d/14BLtwsc3GPSG2gJ-yg7f1Nlew7TTyNyT/view?usp=sharing</t>
  </si>
  <si>
    <t>17:10</t>
  </si>
  <si>
    <t>17:15</t>
  </si>
  <si>
    <t>卓學長</t>
  </si>
  <si>
    <t>防災任務行動指南</t>
  </si>
  <si>
    <t>成為一個有動機、能行動、會擴散的數位指南</t>
  </si>
  <si>
    <t>https://whimsical.com/RKisgctnp6RWMBfWUSkV7E</t>
  </si>
  <si>
    <t>17:20</t>
  </si>
  <si>
    <t>pm5</t>
  </si>
  <si>
    <t>g0v Summit 2024</t>
  </si>
  <si>
    <t>2024 灑蜜開市</t>
  </si>
  <si>
    <t>2024 g0v Summit 20230302成果報告</t>
  </si>
  <si>
    <t>17:25</t>
  </si>
  <si>
    <t>robin</t>
  </si>
  <si>
    <t>Public participation, city planning map, cloud based web-app</t>
  </si>
  <si>
    <t>cc-by</t>
  </si>
  <si>
    <t>https://guan-doom.vercel.app/</t>
  </si>
  <si>
    <t>open democracy, city planning, public participation</t>
  </si>
  <si>
    <t>anyone who likes web-based map apps</t>
  </si>
  <si>
    <t xml:space="preserve">g0v slack @mojoee
 </t>
  </si>
  <si>
    <t>17:30</t>
  </si>
  <si>
    <t>沒人的話宥伯要</t>
  </si>
  <si>
    <t>https://docs.google.com/presentation/d/1BNLnRTX1go4GnEceLJ-M0wW7VvxQpi_f/edit?usp=drive_link&amp;ouid=106480865234997671288&amp;rtpof=true&amp;sd=true</t>
  </si>
  <si>
    <t>17:35</t>
  </si>
  <si>
    <t>chewei</t>
  </si>
  <si>
    <t>waytosafety</t>
  </si>
  <si>
    <t>Shelter Map &amp; Open Data (Taiwan, Japan, Korea) 避難收容所資料勘誤</t>
  </si>
  <si>
    <t>https://g0v.hackmd.io/@waytosafety/home</t>
  </si>
  <si>
    <t>Shelter dataset, Safety, GIS</t>
  </si>
  <si>
    <t>GIS, map</t>
  </si>
  <si>
    <t>@chewei
g0v Slack #facing-the-ocean 
g0v Slack #disaster-go</t>
  </si>
  <si>
    <t>17:40</t>
  </si>
  <si>
    <t>chewei, ronny</t>
  </si>
  <si>
    <t>https://g0v.hackmd.io/0_V7AdIHScOscBHTb4wmQw?both</t>
  </si>
  <si>
    <t>17:45</t>
  </si>
  <si>
    <t>17:50</t>
  </si>
  <si>
    <t>https://g0v.hackmd.io/@paulpengtw/S1owmvla6#/</t>
  </si>
  <si>
    <t>17:55</t>
  </si>
  <si>
    <t>揪松團</t>
  </si>
  <si>
    <t>歡迎每月定期定額捐款 ✨
支持 g0v 社群與黑客松 💪
歡迎大家填寫影響力問卷 ✍</t>
  </si>
  <si>
    <t>^ toilet ^</t>
  </si>
  <si>
    <t>投影幕</t>
  </si>
  <si>
    <t>投
影
幕</t>
  </si>
  <si>
    <t>茶</t>
  </si>
  <si>
    <t>水 water</t>
  </si>
  <si>
    <t>trash O</t>
  </si>
  <si>
    <t>MEDIATEK</t>
  </si>
  <si>
    <t>天璣5G</t>
  </si>
  <si>
    <t>TEA</t>
  </si>
  <si>
    <t>Summit</t>
  </si>
  <si>
    <t>psychmatch</t>
  </si>
  <si>
    <t>wikidata</t>
  </si>
  <si>
    <t>cofact</t>
  </si>
  <si>
    <t>QR arts</t>
  </si>
  <si>
    <t>大</t>
  </si>
  <si>
    <t>門</t>
  </si>
  <si>
    <t>omiyage 土産桌</t>
  </si>
  <si>
    <t>entr-
ance</t>
  </si>
  <si>
    <t>口</t>
  </si>
  <si>
    <t>door</t>
  </si>
  <si>
    <t>報到 checkin</t>
  </si>
  <si>
    <t>問卷</t>
  </si>
  <si>
    <t>common voice
網站韌性檢測</t>
  </si>
  <si>
    <t>企業
捐款
研究</t>
  </si>
  <si>
    <t>藥
學</t>
  </si>
  <si>
    <t>防災</t>
  </si>
  <si>
    <t>要
學</t>
  </si>
  <si>
    <t>救松團</t>
  </si>
  <si>
    <t>水保</t>
  </si>
  <si>
    <t>公私協力</t>
  </si>
  <si>
    <t>亮</t>
  </si>
  <si>
    <t>沙</t>
  </si>
  <si>
    <t>發</t>
  </si>
  <si>
    <t>螢</t>
  </si>
  <si>
    <t>Re0rter 零時記者</t>
  </si>
  <si>
    <t>sofa</t>
  </si>
  <si>
    <t>幕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</si>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</sst>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sz val="9.0"/>
      <color rgb="FF0000FF"/>
    </font>
    <font>
      <b/>
      <sz val="9.0"/>
    </font>
    <font>
      <u/>
      <color rgb="FFFF9900"/>
    </font>
    <font>
      <color rgb="FFFF9900"/>
    </font>
    <font>
      <u/>
      <sz val="10.0"/>
      <color rgb="FF000000"/>
    </font>
    <font>
      <sz val="10.0"/>
      <color rgb="FF000000"/>
    </font>
    <font/>
    <font>
      <u/>
      <color rgb="FF0000FF"/>
    </font>
    <font>
      <name val="Arial"/>
    </font>
    <font>
      <sz val="9.0"/>
      <color rgb="FF008000"/>
      <name val="&quot;Google Sans Mono&quot;"/>
    </font>
    <font>
      <u/>
      <color rgb="FF0000FF"/>
    </font>
    <font>
      <sz val="10.0"/>
      <color rgb="FF333333"/>
      <name val="Arial"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u/>
      <color rgb="FF1155CC"/>
      <name val="Arial"/>
    </font>
    <font>
      <u/>
      <color rgb="FF0000FF"/>
      <name val="Arial"/>
    </font>
    <font>
      <u/>
      <color rgb="FF1155CC"/>
    </font>
    <font>
      <sz val="9.0"/>
    </font>
    <font>
      <u/>
      <color rgb="FF56A3F1"/>
    </font>
    <font>
      <b/>
      <sz val="16.0"/>
      <color rgb="FFFF9700"/>
    </font>
    <font>
      <u/>
      <color rgb="FF0000FF"/>
    </font>
    <font>
      <sz val="12.0"/>
    </font>
    <font>
      <color rgb="FF000000"/>
      <name val="Arial"/>
    </font>
    <font>
      <u/>
      <color rgb="FF1155CC"/>
      <name val="Arial"/>
    </font>
    <font>
      <u/>
      <sz val="11.0"/>
      <color rgb="FF0000FF"/>
    </font>
    <font>
      <u/>
      <color rgb="FF0000FF"/>
    </font>
    <font>
      <u/>
      <sz val="10.0"/>
      <color rgb="FF0000FF"/>
    </font>
    <font>
      <sz val="11.0"/>
      <color rgb="FF2B80B9"/>
    </font>
    <font>
      <sz val="12.0"/>
      <color rgb="FFD5A6BD"/>
    </font>
    <font>
      <sz val="12.0"/>
      <color rgb="FF000000"/>
      <name val="Arial"/>
    </font>
    <font>
      <i/>
      <sz val="24.0"/>
    </font>
    <font>
      <i/>
      <sz val="24.0"/>
      <color rgb="FFD5A6BD"/>
    </font>
    <font>
      <i/>
      <sz val="25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1" fillId="4" fontId="8" numFmtId="0" xfId="0" applyAlignment="1" applyBorder="1" applyFont="1">
      <alignment readingOrder="0" shrinkToFit="0" vertical="center" wrapText="1"/>
    </xf>
    <xf borderId="0" fillId="5" fontId="9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20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5" fontId="11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11" numFmtId="0" xfId="0" applyAlignment="1" applyFont="1">
      <alignment shrinkToFit="0" vertical="center" wrapText="1"/>
    </xf>
    <xf borderId="0" fillId="6" fontId="14" numFmtId="0" xfId="0" applyAlignment="1" applyFill="1" applyFont="1">
      <alignment shrinkToFit="0" wrapText="1"/>
    </xf>
    <xf borderId="0" fillId="0" fontId="15" numFmtId="0" xfId="0" applyAlignment="1" applyFont="1">
      <alignment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6" fontId="16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5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center" wrapText="1"/>
    </xf>
    <xf borderId="0" fillId="6" fontId="11" numFmtId="0" xfId="0" applyAlignment="1" applyFont="1">
      <alignment horizontal="left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3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vertical="center" wrapText="1"/>
    </xf>
    <xf borderId="0" fillId="5" fontId="1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top" wrapText="1"/>
    </xf>
    <xf borderId="0" fillId="0" fontId="10" numFmtId="0" xfId="0" applyAlignment="1" applyFont="1">
      <alignment horizontal="left"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20" numFmtId="0" xfId="0" applyAlignment="1" applyFont="1">
      <alignment horizontal="left" readingOrder="0" shrinkToFit="0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5" fontId="13" numFmtId="0" xfId="0" applyAlignment="1" applyFont="1">
      <alignment horizontal="center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left" readingOrder="0" shrinkToFit="0" wrapText="1"/>
    </xf>
    <xf quotePrefix="1" borderId="0" fillId="0" fontId="11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0"/>
    </xf>
    <xf borderId="0" fillId="4" fontId="26" numFmtId="0" xfId="0" applyAlignment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wrapText="1"/>
    </xf>
    <xf borderId="0" fillId="0" fontId="20" numFmtId="20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6" fontId="29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3" numFmtId="0" xfId="0" applyAlignment="1" applyFont="1">
      <alignment readingOrder="0" shrinkToFit="0" wrapText="1"/>
    </xf>
    <xf borderId="0" fillId="0" fontId="32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0" fillId="0" fontId="34" numFmtId="0" xfId="0" applyAlignment="1" applyFont="1">
      <alignment readingOrder="0" shrinkToFit="0" wrapText="1"/>
    </xf>
    <xf borderId="0" fillId="6" fontId="20" numFmtId="0" xfId="0" applyAlignment="1" applyFont="1">
      <alignment horizontal="left" readingOrder="0" shrinkToFit="0" wrapText="1"/>
    </xf>
    <xf borderId="0" fillId="7" fontId="11" numFmtId="0" xfId="0" applyAlignment="1" applyFill="1" applyFont="1">
      <alignment shrinkToFit="0" vertical="center" wrapText="1"/>
    </xf>
    <xf borderId="0" fillId="7" fontId="11" numFmtId="0" xfId="0" applyAlignment="1" applyFont="1">
      <alignment horizontal="center" shrinkToFit="0" vertical="center" wrapText="1"/>
    </xf>
    <xf borderId="0" fillId="7" fontId="11" numFmtId="0" xfId="0" applyAlignment="1" applyFont="1">
      <alignment horizontal="left" readingOrder="0" shrinkToFit="0" vertical="center" wrapText="1"/>
    </xf>
    <xf borderId="0" fillId="7" fontId="11" numFmtId="0" xfId="0" applyAlignment="1" applyFont="1">
      <alignment readingOrder="0" shrinkToFit="0" vertical="center" wrapText="1"/>
    </xf>
    <xf borderId="0" fillId="0" fontId="28" numFmtId="0" xfId="0" applyAlignment="1" applyFont="1">
      <alignment shrinkToFit="0" wrapText="0"/>
    </xf>
    <xf borderId="0" fillId="0" fontId="28" numFmtId="0" xfId="0" applyAlignment="1" applyFont="1">
      <alignment horizontal="center" readingOrder="0" shrinkToFit="0" vertical="bottom" wrapText="0"/>
    </xf>
    <xf borderId="2" fillId="0" fontId="28" numFmtId="0" xfId="0" applyAlignment="1" applyBorder="1" applyFont="1">
      <alignment shrinkToFit="0" wrapText="0"/>
    </xf>
    <xf borderId="2" fillId="0" fontId="28" numFmtId="0" xfId="0" applyAlignment="1" applyBorder="1" applyFont="1">
      <alignment horizontal="center" readingOrder="0" shrinkToFit="0" vertical="bottom" wrapText="0"/>
    </xf>
    <xf borderId="3" fillId="0" fontId="28" numFmtId="0" xfId="0" applyAlignment="1" applyBorder="1" applyFont="1">
      <alignment horizontal="center" readingOrder="0" shrinkToFit="0" vertical="bottom" wrapText="0"/>
    </xf>
    <xf borderId="0" fillId="0" fontId="35" numFmtId="0" xfId="0" applyAlignment="1" applyFont="1">
      <alignment horizontal="center" readingOrder="0" shrinkToFit="0" vertical="top" wrapText="0"/>
    </xf>
    <xf borderId="4" fillId="0" fontId="35" numFmtId="0" xfId="0" applyAlignment="1" applyBorder="1" applyFont="1">
      <alignment horizontal="center" readingOrder="0" shrinkToFit="0" vertical="bottom" wrapText="0"/>
    </xf>
    <xf borderId="0" fillId="0" fontId="35" numFmtId="0" xfId="0" applyAlignment="1" applyFont="1">
      <alignment horizontal="center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5" fillId="0" fontId="28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horizontal="left" readingOrder="0" shrinkToFit="0" vertical="center" wrapText="0"/>
    </xf>
    <xf borderId="0" fillId="0" fontId="35" numFmtId="0" xfId="0" applyAlignment="1" applyFont="1">
      <alignment horizontal="right" readingOrder="0" shrinkToFit="0" vertical="center" wrapText="0"/>
    </xf>
    <xf borderId="5" fillId="0" fontId="35" numFmtId="0" xfId="0" applyAlignment="1" applyBorder="1" applyFont="1">
      <alignment horizontal="center" shrinkToFit="0" vertical="center" wrapText="0"/>
    </xf>
    <xf borderId="2" fillId="0" fontId="28" numFmtId="0" xfId="0" applyAlignment="1" applyBorder="1" applyFont="1">
      <alignment horizontal="center" shrinkToFit="0" vertical="center" wrapText="0"/>
    </xf>
    <xf borderId="2" fillId="0" fontId="35" numFmtId="0" xfId="0" applyAlignment="1" applyBorder="1" applyFont="1">
      <alignment readingOrder="0" shrinkToFit="0" wrapText="0"/>
    </xf>
    <xf borderId="2" fillId="0" fontId="28" numFmtId="0" xfId="0" applyAlignment="1" applyBorder="1" applyFont="1">
      <alignment readingOrder="0" shrinkToFit="0" wrapText="0"/>
    </xf>
    <xf borderId="3" fillId="0" fontId="28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4" fillId="0" fontId="28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6" fillId="0" fontId="20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6" fillId="8" fontId="28" numFmtId="0" xfId="0" applyAlignment="1" applyBorder="1" applyFill="1" applyFont="1">
      <alignment horizontal="center" shrinkToFit="0" vertical="center" wrapText="0"/>
    </xf>
    <xf borderId="7" fillId="8" fontId="20" numFmtId="0" xfId="0" applyAlignment="1" applyBorder="1" applyFont="1">
      <alignment readingOrder="0" shrinkToFit="0" vertical="center" wrapText="0"/>
    </xf>
    <xf borderId="7" fillId="8" fontId="28" numFmtId="0" xfId="0" applyAlignment="1" applyBorder="1" applyFont="1">
      <alignment shrinkToFit="0" wrapText="0"/>
    </xf>
    <xf borderId="8" fillId="8" fontId="28" numFmtId="0" xfId="0" applyAlignment="1" applyBorder="1" applyFont="1">
      <alignment horizontal="center" shrinkToFit="0" vertical="center" wrapText="0"/>
    </xf>
    <xf borderId="6" fillId="8" fontId="28" numFmtId="0" xfId="0" applyAlignment="1" applyBorder="1" applyFont="1">
      <alignment horizontal="center" readingOrder="0" shrinkToFit="0" vertical="center" wrapText="0"/>
    </xf>
    <xf borderId="6" fillId="8" fontId="20" numFmtId="0" xfId="0" applyAlignment="1" applyBorder="1" applyFont="1">
      <alignment horizontal="center" readingOrder="0" shrinkToFit="0" vertical="center" wrapText="0"/>
    </xf>
    <xf borderId="9" fillId="8" fontId="28" numFmtId="0" xfId="0" applyAlignment="1" applyBorder="1" applyFont="1">
      <alignment horizontal="center" readingOrder="0" shrinkToFit="0" vertical="center" wrapText="0"/>
    </xf>
    <xf borderId="10" fillId="8" fontId="28" numFmtId="0" xfId="0" applyAlignment="1" applyBorder="1" applyFont="1">
      <alignment horizontal="center" shrinkToFit="0" vertical="center" wrapText="0"/>
    </xf>
    <xf borderId="9" fillId="8" fontId="28" numFmtId="0" xfId="0" applyAlignment="1" applyBorder="1" applyFont="1">
      <alignment horizontal="center" shrinkToFit="0" vertical="center" wrapText="0"/>
    </xf>
    <xf borderId="5" fillId="0" fontId="28" numFmtId="0" xfId="0" applyAlignment="1" applyBorder="1" applyFont="1">
      <alignment horizontal="center" readingOrder="0" shrinkToFit="0" vertical="center" wrapText="0"/>
    </xf>
    <xf borderId="11" fillId="8" fontId="28" numFmtId="0" xfId="0" applyAlignment="1" applyBorder="1" applyFont="1">
      <alignment horizontal="center" shrinkToFit="0" vertical="center" wrapText="0"/>
    </xf>
    <xf borderId="3" fillId="8" fontId="28" numFmtId="0" xfId="0" applyAlignment="1" applyBorder="1" applyFont="1">
      <alignment horizontal="center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readingOrder="0" shrinkToFit="0" wrapText="0"/>
    </xf>
    <xf borderId="6" fillId="8" fontId="20" numFmtId="0" xfId="0" applyAlignment="1" applyBorder="1" applyFont="1">
      <alignment horizontal="left" readingOrder="0" shrinkToFit="0" vertical="center" wrapText="0"/>
    </xf>
    <xf borderId="0" fillId="6" fontId="36" numFmtId="0" xfId="0" applyAlignment="1" applyFont="1">
      <alignment horizontal="center" readingOrder="0" shrinkToFit="0" wrapText="0"/>
    </xf>
    <xf borderId="13" fillId="8" fontId="28" numFmtId="0" xfId="0" applyAlignment="1" applyBorder="1" applyFont="1">
      <alignment horizontal="center" shrinkToFit="0" vertical="center" wrapText="0"/>
    </xf>
    <xf borderId="10" fillId="0" fontId="28" numFmtId="0" xfId="0" applyAlignment="1" applyBorder="1" applyFont="1">
      <alignment horizontal="center" shrinkToFit="0" vertical="center" wrapText="0"/>
    </xf>
    <xf borderId="14" fillId="8" fontId="28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9" fillId="8" fontId="20" numFmtId="0" xfId="0" applyAlignment="1" applyBorder="1" applyFont="1">
      <alignment horizontal="right" readingOrder="0" shrinkToFit="0" vertical="center" wrapText="0"/>
    </xf>
    <xf borderId="11" fillId="8" fontId="20" numFmtId="0" xfId="0" applyAlignment="1" applyBorder="1" applyFont="1">
      <alignment horizontal="center" readingOrder="0" shrinkToFit="0" vertical="center" wrapText="0"/>
    </xf>
    <xf borderId="3" fillId="0" fontId="11" numFmtId="0" xfId="0" applyAlignment="1" applyBorder="1" applyFont="1">
      <alignment shrinkToFit="0" wrapText="1"/>
    </xf>
    <xf borderId="5" fillId="0" fontId="11" numFmtId="0" xfId="0" applyAlignment="1" applyBorder="1" applyFont="1">
      <alignment shrinkToFit="0" wrapText="0"/>
    </xf>
    <xf borderId="1" fillId="8" fontId="28" numFmtId="0" xfId="0" applyAlignment="1" applyBorder="1" applyFont="1">
      <alignment horizontal="center" shrinkToFit="0" vertical="center" wrapText="0"/>
    </xf>
    <xf borderId="3" fillId="0" fontId="28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shrinkToFit="0" wrapText="0"/>
    </xf>
    <xf borderId="15" fillId="0" fontId="35" numFmtId="0" xfId="0" applyAlignment="1" applyBorder="1" applyFont="1">
      <alignment horizontal="center" readingOrder="0" shrinkToFit="0" vertical="center" wrapText="0"/>
    </xf>
    <xf borderId="13" fillId="0" fontId="35" numFmtId="0" xfId="0" applyAlignment="1" applyBorder="1" applyFont="1">
      <alignment horizontal="center" readingOrder="0" shrinkToFit="0" vertical="center" wrapText="0"/>
    </xf>
    <xf borderId="14" fillId="0" fontId="35" numFmtId="0" xfId="0" applyAlignment="1" applyBorder="1" applyFont="1">
      <alignment horizontal="center" readingOrder="0" shrinkToFit="0" vertical="center" wrapText="0"/>
    </xf>
    <xf borderId="1" fillId="8" fontId="28" numFmtId="0" xfId="0" applyAlignment="1" applyBorder="1" applyFont="1">
      <alignment horizontal="center" readingOrder="0" shrinkToFit="0" vertical="center" wrapText="0"/>
    </xf>
    <xf borderId="11" fillId="0" fontId="28" numFmtId="0" xfId="0" applyAlignment="1" applyBorder="1" applyFont="1">
      <alignment horizontal="center" shrinkToFit="0" vertical="center" wrapText="0"/>
    </xf>
    <xf borderId="2" fillId="0" fontId="28" numFmtId="0" xfId="0" applyAlignment="1" applyBorder="1" applyFont="1">
      <alignment horizontal="center" readingOrder="0" shrinkToFit="0" vertical="center" wrapText="0"/>
    </xf>
    <xf borderId="2" fillId="0" fontId="37" numFmtId="0" xfId="0" applyAlignment="1" applyBorder="1" applyFont="1">
      <alignment horizontal="center" readingOrder="0" shrinkToFit="0" vertical="top" wrapText="0"/>
    </xf>
    <xf borderId="2" fillId="0" fontId="38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shrinkToFit="0" wrapText="1"/>
    </xf>
    <xf borderId="2" fillId="0" fontId="35" numFmtId="0" xfId="0" applyAlignment="1" applyBorder="1" applyFont="1">
      <alignment horizontal="center" readingOrder="0" shrinkToFit="0" vertical="center" wrapText="0"/>
    </xf>
    <xf borderId="0" fillId="0" fontId="39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ch001.g0v.tw/dash/prj/PnlUadM3vj592EXE5wcAlDHJkAizvN" TargetMode="External"/><Relationship Id="rId42" Type="http://schemas.openxmlformats.org/officeDocument/2006/relationships/hyperlink" Target="https://sch001.g0v.tw/dash/prj/PoJzaMK4LjzJHAip5BgCVL7fYuYzz7" TargetMode="External"/><Relationship Id="rId41" Type="http://schemas.openxmlformats.org/officeDocument/2006/relationships/hyperlink" Target="https://sch001.g0v.tw/dash/prj/Pn1mBym4QAdtcG3r5hCC9uFFE6nLXq" TargetMode="External"/><Relationship Id="rId44" Type="http://schemas.openxmlformats.org/officeDocument/2006/relationships/hyperlink" Target="https://drive.google.com/file/d/1pmGTpY4kjvYGXh8Ansv9UtGqWFdFjY6c/view?usp=drivesdk" TargetMode="External"/><Relationship Id="rId43" Type="http://schemas.openxmlformats.org/officeDocument/2006/relationships/hyperlink" Target="https://sch001.g0v.tw/dash/prj/Pnl6KLz15UkjzAxJ5OZBHtVOfjrAWZ" TargetMode="External"/><Relationship Id="rId46" Type="http://schemas.openxmlformats.org/officeDocument/2006/relationships/hyperlink" Target="https://linuxodyssey.xyz/" TargetMode="External"/><Relationship Id="rId45" Type="http://schemas.openxmlformats.org/officeDocument/2006/relationships/hyperlink" Target="https://sch001.g0v.tw/dash/prj/PnPyv4c3Dc1WoDcP5JbAe9ZPwmAsHe" TargetMode="External"/><Relationship Id="rId1" Type="http://schemas.openxmlformats.org/officeDocument/2006/relationships/hyperlink" Target="https://g0v.hackmd.io/@jothon/BJ6ymwPfT" TargetMode="External"/><Relationship Id="rId2" Type="http://schemas.openxmlformats.org/officeDocument/2006/relationships/hyperlink" Target="https://docs.google.com/presentation/d/1PQ4-2f8-3Sjm-QQ3Y08yJ7JpoHblZnw2D588XRmby-0/edit" TargetMode="External"/><Relationship Id="rId3" Type="http://schemas.openxmlformats.org/officeDocument/2006/relationships/hyperlink" Target="https://app.sli.do/event/wDpDgT6tsXS7ExP49cHwJz" TargetMode="External"/><Relationship Id="rId4" Type="http://schemas.openxmlformats.org/officeDocument/2006/relationships/hyperlink" Target="https://docs.google.com/presentation/d/1CHLvoQYPSa7tcdhI4a6lWD0mG_GzeCu0_SwnhB7WSZ8/edit?usp=sharing" TargetMode="External"/><Relationship Id="rId9" Type="http://schemas.openxmlformats.org/officeDocument/2006/relationships/hyperlink" Target="https://docs.google.com/presentation/d/1DbdkOsZXAbQevztzgF19RQxlMbn5wlP5JK0liTsfAlU/edit?usp=sharing" TargetMode="External"/><Relationship Id="rId48" Type="http://schemas.openxmlformats.org/officeDocument/2006/relationships/hyperlink" Target="https://hackmd.io/@dev-in-tw" TargetMode="External"/><Relationship Id="rId47" Type="http://schemas.openxmlformats.org/officeDocument/2006/relationships/hyperlink" Target="https://sch001.g0v.tw/dash/prj/PjaZTE03200wJ18z5c.93VP2A7OJ4Q" TargetMode="External"/><Relationship Id="rId49" Type="http://schemas.openxmlformats.org/officeDocument/2006/relationships/hyperlink" Target="https://1drv.ms/p/s!ArIHXmHqar5Lund4BsKLxeQZu5Xc?e=xO0D1U" TargetMode="External"/><Relationship Id="rId5" Type="http://schemas.openxmlformats.org/officeDocument/2006/relationships/hyperlink" Target="https://youtu.be/hzMwGW9l_aM" TargetMode="External"/><Relationship Id="rId6" Type="http://schemas.openxmlformats.org/officeDocument/2006/relationships/hyperlink" Target="https://g0v.hackmd.io/@irvin/digital-services-resilience" TargetMode="External"/><Relationship Id="rId7" Type="http://schemas.openxmlformats.org/officeDocument/2006/relationships/hyperlink" Target="https://g0v.hackmd.io/x4cR0BtxTf6eLw_6vaPY3A" TargetMode="External"/><Relationship Id="rId8" Type="http://schemas.openxmlformats.org/officeDocument/2006/relationships/hyperlink" Target="https://g0v.hackmd.io/8PYVkjW_RuSGFlIYJnGKoA?view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docs.google.com/presentation/d/10Or6t-f5wWC8cUcYCoWtHVo1zCa2XQLfthLyff1gYWc/edit" TargetMode="External"/><Relationship Id="rId30" Type="http://schemas.openxmlformats.org/officeDocument/2006/relationships/hyperlink" Target="https://g0v.hackmd.io/0_V7AdIHScOscBHTb4wmQw?view" TargetMode="External"/><Relationship Id="rId33" Type="http://schemas.openxmlformats.org/officeDocument/2006/relationships/hyperlink" Target="https://forms.gle/ZmmsDaXBfwyHQEfQ6" TargetMode="External"/><Relationship Id="rId32" Type="http://schemas.openxmlformats.org/officeDocument/2006/relationships/hyperlink" Target="https://g0v.hackmd.io/yZd5nmZWRLqQ2R2kqvcNqg" TargetMode="External"/><Relationship Id="rId35" Type="http://schemas.openxmlformats.org/officeDocument/2006/relationships/hyperlink" Target="https://docs.google.com/presentation/d/1DNpHiVyKT8YuQDY1lynXSqo2qMTTBZ9d/edit" TargetMode="External"/><Relationship Id="rId34" Type="http://schemas.openxmlformats.org/officeDocument/2006/relationships/hyperlink" Target="https://docs.google.com/presentation/d/18WuylEBx-OZsM6hs8hU-9QjbHXuVicMFmA1K9glUSKw/edit?usp=sharing" TargetMode="External"/><Relationship Id="rId71" Type="http://schemas.openxmlformats.org/officeDocument/2006/relationships/hyperlink" Target="https://g0v.hackmd.io/@paulpengtw/S1owmvla6" TargetMode="External"/><Relationship Id="rId70" Type="http://schemas.openxmlformats.org/officeDocument/2006/relationships/hyperlink" Target="https://g0v.hackmd.io/yZd5nmZWRLqQ2R2kqvcNqg" TargetMode="External"/><Relationship Id="rId37" Type="http://schemas.openxmlformats.org/officeDocument/2006/relationships/hyperlink" Target="https://docs.google.com/presentation/d/1Oe1HffE3jWqgwIvKIMIDLZkItd120oOUNz2R6oI7SNQ/edit?usp=drive_link" TargetMode="External"/><Relationship Id="rId36" Type="http://schemas.openxmlformats.org/officeDocument/2006/relationships/hyperlink" Target="https://docs.google.com/presentation/d/1g1XLe7HHSLylbP17cNpr6uH-tcldOOkvQJb5t4Iddo0/edit" TargetMode="External"/><Relationship Id="rId39" Type="http://schemas.openxmlformats.org/officeDocument/2006/relationships/hyperlink" Target="https://docs.google.com/presentation/d/1IzvtZMYYBjE41ijoEZVF5n3WDUBpWH6TuTWRKjyPggM/edit" TargetMode="External"/><Relationship Id="rId38" Type="http://schemas.openxmlformats.org/officeDocument/2006/relationships/hyperlink" Target="https://docs.google.com/presentation/d/1Igpn9ltDsJBg7Zgf6QMSXy1d-FgG_5N8vkm8p5T0RmE/edit" TargetMode="External"/><Relationship Id="rId62" Type="http://schemas.openxmlformats.org/officeDocument/2006/relationships/hyperlink" Target="https://whimsical.com/RKisgctnp6RWMBfWUSkV7E" TargetMode="External"/><Relationship Id="rId61" Type="http://schemas.openxmlformats.org/officeDocument/2006/relationships/hyperlink" Target="https://hackmd.io/@FrankiCheung/SJ2GOXeT6" TargetMode="External"/><Relationship Id="rId20" Type="http://schemas.openxmlformats.org/officeDocument/2006/relationships/hyperlink" Target="http://code.gov.tw/" TargetMode="External"/><Relationship Id="rId64" Type="http://schemas.openxmlformats.org/officeDocument/2006/relationships/hyperlink" Target="https://docs.google.com/presentation/d/11oGIYzduZHh-EoWbjVEOBmcMBoFcqyDv61KuloWUzlM/edit" TargetMode="External"/><Relationship Id="rId63" Type="http://schemas.openxmlformats.org/officeDocument/2006/relationships/hyperlink" Target="https://g0v.hackmd.io/@summit2024/book/https%3A%2F%2Fg0v.hackmd.io%2FdttYgGq1SmqCCp4ZntffZw" TargetMode="External"/><Relationship Id="rId22" Type="http://schemas.openxmlformats.org/officeDocument/2006/relationships/hyperlink" Target="https://github.com/mutix-co/codegov/" TargetMode="External"/><Relationship Id="rId66" Type="http://schemas.openxmlformats.org/officeDocument/2006/relationships/hyperlink" Target="https://guan-doom.vercel.app/" TargetMode="External"/><Relationship Id="rId21" Type="http://schemas.openxmlformats.org/officeDocument/2006/relationships/hyperlink" Target="https://www.canva.com/design/DAF-RnrVm48/-fh84vVVxluYWXPWAIdGtg/edit" TargetMode="External"/><Relationship Id="rId65" Type="http://schemas.openxmlformats.org/officeDocument/2006/relationships/hyperlink" Target="https://guan-doom.vercel.app/" TargetMode="External"/><Relationship Id="rId24" Type="http://schemas.openxmlformats.org/officeDocument/2006/relationships/hyperlink" Target="https://www.figma.com/file/5BZh0ZBYcNcQNmv86xITe1/Property-listing-website-concept-(Community)?type=design&amp;node-id=0%3A1&amp;mode=design&amp;t=LF0RyG0rzShFbOax-1" TargetMode="External"/><Relationship Id="rId68" Type="http://schemas.openxmlformats.org/officeDocument/2006/relationships/hyperlink" Target="https://g0v.hackmd.io/@waytosafety/home" TargetMode="External"/><Relationship Id="rId23" Type="http://schemas.openxmlformats.org/officeDocument/2006/relationships/hyperlink" Target="https://docs.google.com/document/d/1EeOM_Mi04UGRNd7MqYrvCsUEfN5VOTo-hH9CKPa2f9I/edit?usp=sharing" TargetMode="External"/><Relationship Id="rId67" Type="http://schemas.openxmlformats.org/officeDocument/2006/relationships/hyperlink" Target="https://docs.google.com/presentation/d/1BNLnRTX1go4GnEceLJ-M0wW7VvxQpi_f/edit?usp=drive_link&amp;ouid=106480865234997671288&amp;rtpof=true&amp;sd=true" TargetMode="External"/><Relationship Id="rId60" Type="http://schemas.openxmlformats.org/officeDocument/2006/relationships/hyperlink" Target="https://drive.google.com/file/d/14BLtwsc3GPSG2gJ-yg7f1Nlew7TTyNyT/view?usp=sharing" TargetMode="External"/><Relationship Id="rId26" Type="http://schemas.openxmlformats.org/officeDocument/2006/relationships/hyperlink" Target="https://cofacts.tw/hack" TargetMode="External"/><Relationship Id="rId25" Type="http://schemas.openxmlformats.org/officeDocument/2006/relationships/hyperlink" Target="https://drive.google.com/file/d/18UpphP47mvH6mJptZhuPTKuEIrFyyO2a/view?usp=drivesdk" TargetMode="External"/><Relationship Id="rId69" Type="http://schemas.openxmlformats.org/officeDocument/2006/relationships/hyperlink" Target="https://g0v.hackmd.io/0_V7AdIHScOscBHTb4wmQw?both" TargetMode="External"/><Relationship Id="rId28" Type="http://schemas.openxmlformats.org/officeDocument/2006/relationships/hyperlink" Target="https://hackmd.io/@FrankiCheung/SJ2GOXeT6" TargetMode="External"/><Relationship Id="rId27" Type="http://schemas.openxmlformats.org/officeDocument/2006/relationships/hyperlink" Target="https://docs.google.com/presentation/d/1wT5Ili0pxQNBmGaILJjadFyNKY5rK3qfBw8iArfUPOo/edit" TargetMode="External"/><Relationship Id="rId29" Type="http://schemas.openxmlformats.org/officeDocument/2006/relationships/hyperlink" Target="https://docs.google.com/presentation/d/1PULDqUBgvHi_sqz2Us3S_5lrhz1M8nNdGbb56fC1MTw/edit?usp=sharing" TargetMode="External"/><Relationship Id="rId51" Type="http://schemas.openxmlformats.org/officeDocument/2006/relationships/hyperlink" Target="https://sch001.g0v.tw/dash/prj/PoL5uzY3bFrLGG.P5nzCq1JV25eKoH" TargetMode="External"/><Relationship Id="rId50" Type="http://schemas.openxmlformats.org/officeDocument/2006/relationships/hyperlink" Target="mailto:haco@lazco.dev" TargetMode="External"/><Relationship Id="rId53" Type="http://schemas.openxmlformats.org/officeDocument/2006/relationships/hyperlink" Target="https://sch001.g0v.tw/dash/prj/PoKDYzo1cSWY31335KNAYVHZpgzjac" TargetMode="External"/><Relationship Id="rId52" Type="http://schemas.openxmlformats.org/officeDocument/2006/relationships/hyperlink" Target="https://sch001.g0v.tw/dash/prj/PnwL01x2_vGdm6ar5ejAk42RW.tDyP" TargetMode="External"/><Relationship Id="rId11" Type="http://schemas.openxmlformats.org/officeDocument/2006/relationships/hyperlink" Target="https://docs.google.com/presentation/d/1Za5iS60zRP2hrNESLcP5lT2dAGV-X0ybybPTkcPumIw/edit?usp=sharing" TargetMode="External"/><Relationship Id="rId55" Type="http://schemas.openxmlformats.org/officeDocument/2006/relationships/hyperlink" Target="https://youtu.be/pJ943sP4ExI" TargetMode="External"/><Relationship Id="rId10" Type="http://schemas.openxmlformats.org/officeDocument/2006/relationships/hyperlink" Target="https://g0v.hackmd.io/@summit2024/book/https%3A%2F%2Fg0v.hackmd.io%2FdttYgGq1SmqCCp4ZntffZw" TargetMode="External"/><Relationship Id="rId54" Type="http://schemas.openxmlformats.org/officeDocument/2006/relationships/hyperlink" Target="https://g0v.hackmd.io/@nonprofit-helper/nonprofit-helper-home" TargetMode="External"/><Relationship Id="rId13" Type="http://schemas.openxmlformats.org/officeDocument/2006/relationships/hyperlink" Target="https://tech.ardswc.gov.tw/?lang=%2F" TargetMode="External"/><Relationship Id="rId57" Type="http://schemas.openxmlformats.org/officeDocument/2006/relationships/hyperlink" Target="https://sch001.g0v.tw/dash/prj/PnB4vTW30nTEyCRS51xCsJaLMXyCV2" TargetMode="External"/><Relationship Id="rId12" Type="http://schemas.openxmlformats.org/officeDocument/2006/relationships/hyperlink" Target="https://docs.google.com/presentation/d/11_XsUYC94LMdhZlS7nOZwbmlUgP76MEp/edit?usp=sharing&amp;ouid=106480865234997671288&amp;rtpof=true&amp;sd=true" TargetMode="External"/><Relationship Id="rId56" Type="http://schemas.openxmlformats.org/officeDocument/2006/relationships/hyperlink" Target="https://g0v.hackmd.io/@paulpengtw/EASY-SLACK" TargetMode="External"/><Relationship Id="rId15" Type="http://schemas.openxmlformats.org/officeDocument/2006/relationships/hyperlink" Target="https://g0v.hackmd.io/@RogHBdpiRqm2hutWKiXbDg/S1V9nRvca/https%3A%2F%2Fg0v.hackmd.io%2Fc%2FS1V9nRvca%2Fedit%3Fedit" TargetMode="External"/><Relationship Id="rId59" Type="http://schemas.openxmlformats.org/officeDocument/2006/relationships/hyperlink" Target="https://g0v.hackmd.io/x4cR0BtxTf6eLw_6vaPY3A?both" TargetMode="External"/><Relationship Id="rId14" Type="http://schemas.openxmlformats.org/officeDocument/2006/relationships/hyperlink" Target="https://www.youtube.com/@user-kc1pw5oy2p" TargetMode="External"/><Relationship Id="rId58" Type="http://schemas.openxmlformats.org/officeDocument/2006/relationships/hyperlink" Target="https://sch001.g0v.tw/dash/prj/PoL5RBB4_J_I_EdG5X4BfXJ8TMRb3F" TargetMode="External"/><Relationship Id="rId17" Type="http://schemas.openxmlformats.org/officeDocument/2006/relationships/hyperlink" Target="https://docs.google.com/presentation/d/12fY5O0rfq7sCrVKo2AIElzprAHoD_7tr/edit" TargetMode="External"/><Relationship Id="rId16" Type="http://schemas.openxmlformats.org/officeDocument/2006/relationships/hyperlink" Target="https://docs.google.com/presentation/d/1qq_CTCULDj9LUvoP-J7YPSr_3zinICK3GoIyl6kDtMY/edit?usp=drive_link" TargetMode="External"/><Relationship Id="rId19" Type="http://schemas.openxmlformats.org/officeDocument/2006/relationships/hyperlink" Target="https://slides.com/allenwang6212/wikidatag0v61st/" TargetMode="External"/><Relationship Id="rId18" Type="http://schemas.openxmlformats.org/officeDocument/2006/relationships/hyperlink" Target="https://hackmd.io/@wikidata-tw/H1q_IpzE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4.75"/>
    <col customWidth="1" min="5" max="5" width="9.75"/>
    <col customWidth="1" min="6" max="6" width="6.13"/>
    <col customWidth="1" min="7" max="7" width="18.5"/>
    <col customWidth="1" min="8" max="8" width="27.25"/>
    <col customWidth="1" min="9" max="10" width="12.0"/>
    <col customWidth="1" min="11" max="11" width="23.25"/>
    <col customWidth="1" min="12" max="12" width="28.38"/>
    <col customWidth="1" min="13" max="13" width="17.5"/>
    <col customWidth="1" min="14" max="14" width="21.0"/>
    <col customWidth="1" min="15" max="15" width="32.5"/>
    <col customWidth="1" min="16" max="16" width="30.63"/>
    <col customWidth="1" min="17" max="17" width="22.5"/>
    <col customWidth="1" min="18" max="18" width="15.5"/>
    <col customWidth="1" min="19" max="20" width="18.13"/>
  </cols>
  <sheetData>
    <row r="1" ht="23.25" hidden="1" customHeight="1">
      <c r="A1" s="1"/>
      <c r="P1" s="1"/>
      <c r="Q1" s="1"/>
      <c r="R1" s="2"/>
      <c r="S1" s="2"/>
      <c r="T1" s="2"/>
    </row>
    <row r="2" ht="15.0" customHeight="1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5" t="s">
        <v>5</v>
      </c>
      <c r="G2" s="3" t="s">
        <v>6</v>
      </c>
      <c r="H2" s="3" t="s">
        <v>7</v>
      </c>
      <c r="I2" s="3" t="s">
        <v>8</v>
      </c>
      <c r="J2" s="6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7" t="s">
        <v>16</v>
      </c>
      <c r="R2" s="3" t="s">
        <v>17</v>
      </c>
      <c r="S2" s="8" t="s">
        <v>18</v>
      </c>
      <c r="T2" s="3" t="s">
        <v>19</v>
      </c>
    </row>
    <row r="3" ht="15.0" customHeight="1">
      <c r="A3" s="9" t="s">
        <v>20</v>
      </c>
      <c r="T3" s="9"/>
    </row>
    <row r="4" ht="15.0" customHeight="1">
      <c r="A4" s="10" t="s">
        <v>21</v>
      </c>
      <c r="P4" s="11"/>
      <c r="Q4" s="11"/>
      <c r="R4" s="11"/>
      <c r="S4" s="11"/>
      <c r="T4" s="12"/>
    </row>
    <row r="5" ht="22.5" customHeight="1">
      <c r="A5" s="13" t="s">
        <v>22</v>
      </c>
    </row>
    <row r="6" ht="22.5" customHeight="1">
      <c r="A6" s="14">
        <v>1.0</v>
      </c>
      <c r="B6" s="15">
        <v>0.4027777777777778</v>
      </c>
      <c r="C6" s="16"/>
      <c r="D6" s="17" t="s">
        <v>23</v>
      </c>
      <c r="E6" s="18" t="s">
        <v>24</v>
      </c>
      <c r="F6" s="19"/>
      <c r="G6" s="18" t="s">
        <v>25</v>
      </c>
      <c r="H6" s="18" t="s">
        <v>26</v>
      </c>
      <c r="I6" s="20" t="s">
        <v>27</v>
      </c>
      <c r="J6" s="21" t="s">
        <v>28</v>
      </c>
      <c r="K6" s="22"/>
      <c r="L6" s="23" t="s">
        <v>29</v>
      </c>
      <c r="M6" s="24" t="s">
        <v>28</v>
      </c>
      <c r="N6" s="25" t="s">
        <v>30</v>
      </c>
      <c r="O6" s="26" t="s">
        <v>31</v>
      </c>
      <c r="P6" s="26" t="s">
        <v>32</v>
      </c>
      <c r="Q6" s="18" t="s">
        <v>33</v>
      </c>
      <c r="R6" s="23" t="s">
        <v>34</v>
      </c>
      <c r="S6" s="27"/>
      <c r="T6" s="28" t="str">
        <f>"g0v tw hackathXXn — 提案 — "&amp;G6&amp;" ／ "&amp;D6&amp;" — XXX黑客松"</f>
        <v>g0v tw hackathXXn — 提案 — Arm0ry ／ Stamford — XXX黑客松</v>
      </c>
    </row>
    <row r="7" ht="15.0" customHeight="1">
      <c r="A7" s="14">
        <v>2.0</v>
      </c>
      <c r="B7" s="15">
        <v>0.4048611111111111</v>
      </c>
      <c r="C7" s="16"/>
      <c r="D7" s="17" t="s">
        <v>35</v>
      </c>
      <c r="E7" s="18" t="s">
        <v>36</v>
      </c>
      <c r="F7" s="19"/>
      <c r="G7" s="18" t="s">
        <v>37</v>
      </c>
      <c r="H7" s="18" t="s">
        <v>38</v>
      </c>
      <c r="I7" s="17" t="s">
        <v>39</v>
      </c>
      <c r="J7" s="16" t="s">
        <v>28</v>
      </c>
      <c r="K7" s="23" t="s">
        <v>40</v>
      </c>
      <c r="L7" s="29" t="s">
        <v>41</v>
      </c>
      <c r="M7" s="30" t="s">
        <v>28</v>
      </c>
      <c r="N7" s="31" t="s">
        <v>42</v>
      </c>
      <c r="O7" s="31" t="s">
        <v>43</v>
      </c>
      <c r="P7" s="32" t="s">
        <v>44</v>
      </c>
      <c r="Q7" s="18"/>
      <c r="R7" s="18"/>
      <c r="S7" s="27"/>
      <c r="T7" s="27"/>
    </row>
    <row r="8" ht="15.0" customHeight="1">
      <c r="A8" s="14">
        <v>3.0</v>
      </c>
      <c r="B8" s="15">
        <v>0.40694444444444444</v>
      </c>
      <c r="C8" s="16"/>
      <c r="D8" s="17" t="s">
        <v>45</v>
      </c>
      <c r="E8" s="18" t="s">
        <v>36</v>
      </c>
      <c r="F8" s="19" t="s">
        <v>28</v>
      </c>
      <c r="G8" s="18" t="s">
        <v>46</v>
      </c>
      <c r="H8" s="33" t="s">
        <v>47</v>
      </c>
      <c r="I8" s="20" t="s">
        <v>48</v>
      </c>
      <c r="J8" s="21" t="s">
        <v>49</v>
      </c>
      <c r="K8" s="34" t="s">
        <v>50</v>
      </c>
      <c r="L8" s="35" t="s">
        <v>51</v>
      </c>
      <c r="M8" s="36" t="s">
        <v>28</v>
      </c>
      <c r="N8" s="37" t="s">
        <v>52</v>
      </c>
      <c r="O8" s="37" t="s">
        <v>53</v>
      </c>
      <c r="P8" s="37" t="s">
        <v>54</v>
      </c>
      <c r="Q8" s="37"/>
      <c r="R8" s="18"/>
      <c r="S8" s="27"/>
      <c r="T8" s="27"/>
    </row>
    <row r="9" ht="15.0" customHeight="1">
      <c r="A9" s="14">
        <v>4.0</v>
      </c>
      <c r="B9" s="15">
        <v>0.40902777777777777</v>
      </c>
      <c r="C9" s="16"/>
      <c r="D9" s="17" t="s">
        <v>55</v>
      </c>
      <c r="E9" s="18" t="s">
        <v>36</v>
      </c>
      <c r="F9" s="19" t="s">
        <v>28</v>
      </c>
      <c r="G9" s="18" t="s">
        <v>56</v>
      </c>
      <c r="H9" s="18" t="s">
        <v>57</v>
      </c>
      <c r="I9" s="17" t="s">
        <v>58</v>
      </c>
      <c r="J9" s="16" t="s">
        <v>59</v>
      </c>
      <c r="K9" s="38" t="s">
        <v>60</v>
      </c>
      <c r="L9" s="29" t="s">
        <v>61</v>
      </c>
      <c r="M9" s="30" t="s">
        <v>28</v>
      </c>
      <c r="N9" s="37" t="s">
        <v>62</v>
      </c>
      <c r="O9" s="37" t="s">
        <v>63</v>
      </c>
      <c r="P9" s="37" t="s">
        <v>64</v>
      </c>
      <c r="Q9" s="37"/>
    </row>
    <row r="10" ht="41.25" customHeight="1">
      <c r="A10" s="14">
        <v>5.0</v>
      </c>
      <c r="B10" s="15">
        <v>0.4111111111111111</v>
      </c>
      <c r="C10" s="16"/>
      <c r="D10" s="17" t="s">
        <v>65</v>
      </c>
      <c r="E10" s="18" t="s">
        <v>36</v>
      </c>
      <c r="F10" s="19" t="s">
        <v>28</v>
      </c>
      <c r="G10" s="18" t="s">
        <v>66</v>
      </c>
      <c r="H10" s="18" t="s">
        <v>67</v>
      </c>
      <c r="I10" s="17" t="s">
        <v>68</v>
      </c>
      <c r="J10" s="16" t="s">
        <v>49</v>
      </c>
      <c r="K10" s="23" t="s">
        <v>69</v>
      </c>
      <c r="L10" s="23" t="s">
        <v>70</v>
      </c>
      <c r="M10" s="30" t="s">
        <v>28</v>
      </c>
      <c r="N10" s="18" t="s">
        <v>71</v>
      </c>
      <c r="O10" s="18" t="s">
        <v>72</v>
      </c>
      <c r="P10" s="18" t="s">
        <v>73</v>
      </c>
      <c r="Q10" s="18"/>
      <c r="R10" s="23" t="s">
        <v>74</v>
      </c>
      <c r="S10" s="27"/>
      <c r="T10" s="27"/>
    </row>
    <row r="11" ht="15.0" customHeight="1">
      <c r="A11" s="14">
        <v>6.0</v>
      </c>
      <c r="B11" s="15">
        <v>0.4131944444444444</v>
      </c>
      <c r="C11" s="16"/>
      <c r="D11" s="17" t="s">
        <v>75</v>
      </c>
      <c r="E11" s="18" t="s">
        <v>36</v>
      </c>
      <c r="F11" s="19"/>
      <c r="G11" s="18" t="s">
        <v>76</v>
      </c>
      <c r="H11" s="18" t="s">
        <v>77</v>
      </c>
      <c r="I11" s="39"/>
      <c r="J11" s="40" t="s">
        <v>28</v>
      </c>
      <c r="K11" s="23" t="s">
        <v>78</v>
      </c>
      <c r="L11" s="23" t="s">
        <v>79</v>
      </c>
      <c r="M11" s="30" t="s">
        <v>28</v>
      </c>
      <c r="N11" s="18" t="s">
        <v>80</v>
      </c>
      <c r="O11" s="18" t="s">
        <v>81</v>
      </c>
      <c r="P11" s="18" t="s">
        <v>82</v>
      </c>
      <c r="Q11" s="18"/>
      <c r="S11" s="27"/>
      <c r="T11" s="27"/>
    </row>
    <row r="12" ht="18.0" customHeight="1">
      <c r="A12" s="14">
        <v>7.0</v>
      </c>
      <c r="B12" s="15">
        <v>0.4152777777777778</v>
      </c>
      <c r="C12" s="16"/>
      <c r="D12" s="41" t="s">
        <v>83</v>
      </c>
      <c r="E12" s="18" t="s">
        <v>36</v>
      </c>
      <c r="F12" s="19"/>
      <c r="G12" s="42" t="s">
        <v>84</v>
      </c>
      <c r="H12" s="18" t="s">
        <v>85</v>
      </c>
      <c r="I12" s="17"/>
      <c r="J12" s="16"/>
      <c r="K12" s="18"/>
      <c r="L12" s="18" t="s">
        <v>86</v>
      </c>
      <c r="M12" s="43"/>
      <c r="N12" s="44"/>
      <c r="O12" s="18"/>
      <c r="P12" s="18"/>
      <c r="Q12" s="18"/>
      <c r="R12" s="18"/>
      <c r="S12" s="27"/>
      <c r="T12" s="27"/>
    </row>
    <row r="13" ht="15.0" customHeight="1">
      <c r="A13" s="14">
        <v>8.0</v>
      </c>
      <c r="B13" s="15">
        <v>0.4173611111111111</v>
      </c>
      <c r="C13" s="16"/>
      <c r="D13" s="17" t="s">
        <v>87</v>
      </c>
      <c r="E13" s="18" t="s">
        <v>36</v>
      </c>
      <c r="F13" s="19"/>
      <c r="G13" s="18" t="s">
        <v>88</v>
      </c>
      <c r="H13" s="18" t="s">
        <v>89</v>
      </c>
      <c r="I13" s="17" t="s">
        <v>90</v>
      </c>
      <c r="J13" s="16" t="s">
        <v>28</v>
      </c>
      <c r="L13" s="34" t="s">
        <v>91</v>
      </c>
      <c r="M13" s="30" t="s">
        <v>28</v>
      </c>
      <c r="N13" s="37" t="s">
        <v>92</v>
      </c>
      <c r="O13" s="37" t="s">
        <v>93</v>
      </c>
      <c r="P13" s="18" t="s">
        <v>94</v>
      </c>
      <c r="Q13" s="37"/>
      <c r="R13" s="18"/>
      <c r="S13" s="27"/>
      <c r="T13" s="27"/>
    </row>
    <row r="14" ht="15.0" customHeight="1">
      <c r="A14" s="14">
        <v>9.0</v>
      </c>
      <c r="B14" s="15">
        <v>0.41944444444444445</v>
      </c>
      <c r="C14" s="16"/>
      <c r="D14" s="17" t="s">
        <v>95</v>
      </c>
      <c r="E14" s="18" t="s">
        <v>36</v>
      </c>
      <c r="F14" s="19" t="s">
        <v>28</v>
      </c>
      <c r="G14" s="18" t="s">
        <v>96</v>
      </c>
      <c r="H14" s="18" t="s">
        <v>97</v>
      </c>
      <c r="I14" s="17" t="s">
        <v>39</v>
      </c>
      <c r="J14" s="16" t="s">
        <v>28</v>
      </c>
      <c r="K14" s="29" t="s">
        <v>98</v>
      </c>
      <c r="L14" s="23" t="s">
        <v>99</v>
      </c>
      <c r="M14" s="30" t="s">
        <v>28</v>
      </c>
      <c r="N14" s="18" t="s">
        <v>100</v>
      </c>
      <c r="O14" s="18" t="s">
        <v>101</v>
      </c>
      <c r="P14" s="18" t="s">
        <v>102</v>
      </c>
      <c r="Q14" s="18"/>
      <c r="R14" s="18"/>
      <c r="S14" s="27"/>
      <c r="T14" s="27"/>
    </row>
    <row r="15" ht="15.0" customHeight="1">
      <c r="A15" s="14">
        <v>10.0</v>
      </c>
      <c r="B15" s="15">
        <v>0.4215277777777778</v>
      </c>
      <c r="C15" s="16"/>
      <c r="D15" s="45" t="s">
        <v>103</v>
      </c>
      <c r="E15" s="18" t="s">
        <v>36</v>
      </c>
      <c r="F15" s="46"/>
      <c r="G15" s="47" t="s">
        <v>104</v>
      </c>
      <c r="H15" s="23" t="s">
        <v>105</v>
      </c>
      <c r="I15" s="20" t="s">
        <v>106</v>
      </c>
      <c r="J15" s="21" t="s">
        <v>28</v>
      </c>
      <c r="K15" s="34" t="s">
        <v>107</v>
      </c>
      <c r="L15" s="35" t="s">
        <v>108</v>
      </c>
      <c r="M15" s="48"/>
      <c r="N15" s="37"/>
      <c r="O15" s="37"/>
      <c r="P15" s="37"/>
      <c r="Q15" s="37"/>
      <c r="R15" s="18"/>
    </row>
    <row r="16" ht="15.0" customHeight="1">
      <c r="A16" s="14">
        <v>11.0</v>
      </c>
      <c r="B16" s="15">
        <v>0.4236111111111111</v>
      </c>
      <c r="C16" s="16"/>
      <c r="D16" s="17" t="s">
        <v>109</v>
      </c>
      <c r="E16" s="18" t="s">
        <v>36</v>
      </c>
      <c r="F16" s="19"/>
      <c r="G16" s="18" t="s">
        <v>110</v>
      </c>
      <c r="H16" s="18" t="s">
        <v>111</v>
      </c>
      <c r="I16" s="17" t="s">
        <v>112</v>
      </c>
      <c r="J16" s="16"/>
      <c r="K16" s="23" t="s">
        <v>113</v>
      </c>
      <c r="L16" s="34" t="s">
        <v>114</v>
      </c>
      <c r="M16" s="30" t="s">
        <v>28</v>
      </c>
      <c r="N16" s="18" t="s">
        <v>115</v>
      </c>
      <c r="O16" s="18" t="s">
        <v>116</v>
      </c>
      <c r="P16" s="18" t="s">
        <v>117</v>
      </c>
      <c r="Q16" s="49"/>
      <c r="R16" s="18"/>
      <c r="S16" s="27"/>
      <c r="T16" s="27"/>
    </row>
    <row r="17" ht="15.0" customHeight="1">
      <c r="A17" s="14">
        <v>12.0</v>
      </c>
      <c r="B17" s="15">
        <v>0.42569444444444443</v>
      </c>
      <c r="C17" s="16"/>
      <c r="D17" s="50" t="s">
        <v>118</v>
      </c>
      <c r="E17" s="18" t="s">
        <v>36</v>
      </c>
      <c r="F17" s="19"/>
      <c r="G17" s="51" t="s">
        <v>119</v>
      </c>
      <c r="H17" s="51" t="s">
        <v>120</v>
      </c>
      <c r="I17" s="17" t="s">
        <v>39</v>
      </c>
      <c r="J17" s="16" t="s">
        <v>28</v>
      </c>
      <c r="K17" s="52"/>
      <c r="L17" s="29" t="s">
        <v>121</v>
      </c>
      <c r="M17" s="30" t="s">
        <v>28</v>
      </c>
      <c r="N17" s="18" t="s">
        <v>122</v>
      </c>
      <c r="O17" s="18" t="s">
        <v>123</v>
      </c>
      <c r="P17" s="18" t="s">
        <v>124</v>
      </c>
      <c r="Q17" s="18"/>
      <c r="R17" s="18"/>
      <c r="S17" s="27"/>
      <c r="T17" s="27"/>
    </row>
    <row r="18" ht="15.0" customHeight="1">
      <c r="A18" s="14">
        <v>13.0</v>
      </c>
      <c r="B18" s="15">
        <v>0.42777777777777776</v>
      </c>
      <c r="C18" s="16"/>
      <c r="D18" s="17" t="s">
        <v>125</v>
      </c>
      <c r="E18" s="18" t="s">
        <v>36</v>
      </c>
      <c r="F18" s="19" t="s">
        <v>28</v>
      </c>
      <c r="G18" s="53" t="s">
        <v>126</v>
      </c>
      <c r="H18" s="54" t="s">
        <v>126</v>
      </c>
      <c r="I18" s="55" t="s">
        <v>127</v>
      </c>
      <c r="J18" s="56" t="s">
        <v>128</v>
      </c>
      <c r="K18" s="57" t="s">
        <v>129</v>
      </c>
      <c r="L18" s="58" t="s">
        <v>130</v>
      </c>
      <c r="M18" s="59" t="s">
        <v>28</v>
      </c>
      <c r="N18" s="53" t="s">
        <v>131</v>
      </c>
      <c r="O18" s="54" t="s">
        <v>132</v>
      </c>
      <c r="P18" s="53" t="s">
        <v>133</v>
      </c>
      <c r="Q18" s="18"/>
      <c r="R18" s="18"/>
      <c r="S18" s="27"/>
      <c r="T18" s="27"/>
    </row>
    <row r="19" ht="15.0" customHeight="1">
      <c r="A19" s="14">
        <v>14.0</v>
      </c>
      <c r="B19" s="15">
        <v>0.42986111111111114</v>
      </c>
      <c r="C19" s="16"/>
      <c r="D19" s="17" t="s">
        <v>134</v>
      </c>
      <c r="E19" s="18" t="s">
        <v>36</v>
      </c>
      <c r="F19" s="19" t="s">
        <v>135</v>
      </c>
      <c r="G19" s="18" t="s">
        <v>136</v>
      </c>
      <c r="H19" s="18" t="s">
        <v>137</v>
      </c>
      <c r="I19" s="17" t="s">
        <v>138</v>
      </c>
      <c r="J19" s="16" t="s">
        <v>28</v>
      </c>
      <c r="K19" s="23" t="s">
        <v>139</v>
      </c>
      <c r="L19" s="60" t="s">
        <v>140</v>
      </c>
      <c r="M19" s="30" t="s">
        <v>28</v>
      </c>
      <c r="N19" s="18" t="s">
        <v>141</v>
      </c>
      <c r="O19" s="18" t="s">
        <v>142</v>
      </c>
      <c r="P19" s="18" t="s">
        <v>143</v>
      </c>
      <c r="Q19" s="18"/>
      <c r="R19" s="18"/>
      <c r="S19" s="27"/>
      <c r="T19" s="27"/>
    </row>
    <row r="20" ht="15.0" customHeight="1">
      <c r="A20" s="14">
        <v>15.0</v>
      </c>
      <c r="B20" s="15">
        <v>0.43194444444444446</v>
      </c>
      <c r="C20" s="16"/>
      <c r="D20" s="17" t="s">
        <v>144</v>
      </c>
      <c r="E20" s="18" t="s">
        <v>36</v>
      </c>
      <c r="F20" s="19" t="s">
        <v>28</v>
      </c>
      <c r="G20" s="18" t="s">
        <v>145</v>
      </c>
      <c r="H20" s="18" t="s">
        <v>146</v>
      </c>
      <c r="I20" s="17" t="s">
        <v>112</v>
      </c>
      <c r="J20" s="16" t="s">
        <v>49</v>
      </c>
      <c r="K20" s="29" t="s">
        <v>147</v>
      </c>
      <c r="L20" s="23" t="s">
        <v>148</v>
      </c>
      <c r="M20" s="30" t="s">
        <v>28</v>
      </c>
      <c r="N20" s="61" t="s">
        <v>149</v>
      </c>
      <c r="O20" s="18" t="s">
        <v>150</v>
      </c>
      <c r="P20" s="18" t="s">
        <v>151</v>
      </c>
      <c r="Q20" s="18"/>
      <c r="R20" s="18"/>
      <c r="S20" s="27"/>
      <c r="T20" s="27"/>
    </row>
    <row r="21" ht="15.0" customHeight="1">
      <c r="A21" s="16"/>
      <c r="B21" s="15"/>
      <c r="C21" s="16"/>
      <c r="D21" s="62" t="s">
        <v>152</v>
      </c>
      <c r="E21" s="18"/>
      <c r="F21" s="19"/>
      <c r="G21" s="18"/>
      <c r="H21" s="18"/>
      <c r="I21" s="17"/>
      <c r="J21" s="16"/>
      <c r="K21" s="18"/>
      <c r="L21" s="18"/>
      <c r="M21" s="24"/>
      <c r="N21" s="18"/>
      <c r="O21" s="18"/>
      <c r="P21" s="18"/>
      <c r="Q21" s="18"/>
      <c r="R21" s="18"/>
      <c r="S21" s="27"/>
      <c r="T21" s="27"/>
    </row>
    <row r="22" ht="15.0" customHeight="1">
      <c r="A22" s="63" t="s">
        <v>153</v>
      </c>
      <c r="B22" s="15"/>
      <c r="C22" s="16"/>
      <c r="D22" s="17" t="s">
        <v>154</v>
      </c>
      <c r="E22" s="18" t="s">
        <v>36</v>
      </c>
      <c r="F22" s="19"/>
      <c r="G22" s="18" t="s">
        <v>155</v>
      </c>
      <c r="H22" s="18" t="s">
        <v>156</v>
      </c>
      <c r="I22" s="17" t="s">
        <v>157</v>
      </c>
      <c r="J22" s="16" t="s">
        <v>28</v>
      </c>
      <c r="K22" s="64" t="s">
        <v>158</v>
      </c>
      <c r="L22" s="23" t="s">
        <v>159</v>
      </c>
      <c r="M22" s="30" t="s">
        <v>28</v>
      </c>
      <c r="N22" s="65" t="s">
        <v>160</v>
      </c>
      <c r="O22" s="31" t="s">
        <v>161</v>
      </c>
      <c r="P22" s="32" t="s">
        <v>162</v>
      </c>
      <c r="Q22" s="18"/>
      <c r="R22" s="18"/>
      <c r="S22" s="27"/>
      <c r="T22" s="27"/>
    </row>
    <row r="23" ht="15.0" customHeight="1">
      <c r="A23" s="66" t="s">
        <v>163</v>
      </c>
      <c r="T23" s="67"/>
    </row>
    <row r="24" ht="47.25" customHeight="1">
      <c r="A24" s="8" t="s">
        <v>164</v>
      </c>
      <c r="B24" s="3" t="s">
        <v>1</v>
      </c>
      <c r="C24" s="3" t="s">
        <v>165</v>
      </c>
      <c r="D24" s="68" t="s">
        <v>166</v>
      </c>
      <c r="E24" s="3" t="s">
        <v>167</v>
      </c>
      <c r="F24" s="5" t="s">
        <v>168</v>
      </c>
      <c r="G24" s="3" t="s">
        <v>6</v>
      </c>
      <c r="I24" s="3" t="s">
        <v>8</v>
      </c>
      <c r="J24" s="3" t="s">
        <v>169</v>
      </c>
      <c r="L24" s="3" t="s">
        <v>170</v>
      </c>
      <c r="M24" s="3" t="s">
        <v>13</v>
      </c>
      <c r="O24" s="3" t="s">
        <v>171</v>
      </c>
      <c r="Q24" s="3"/>
      <c r="R24" s="69"/>
      <c r="S24" s="69"/>
      <c r="T24" s="28" t="str">
        <f>"g0v tw hackathXXn — 中場短講 — "&amp;G24&amp;" ／ "&amp;D24&amp;" — XXX黑客松"</f>
        <v>g0v tw hackathXXn — 中場短講 — 專案名稱
Project Name ／ 發表團隊
Team — XXX黑客松</v>
      </c>
    </row>
    <row r="25" ht="15.0" customHeight="1">
      <c r="A25" s="70">
        <v>1.0</v>
      </c>
      <c r="B25" s="15">
        <v>0.4583333333333333</v>
      </c>
      <c r="C25" s="16"/>
      <c r="D25" s="17" t="s">
        <v>172</v>
      </c>
      <c r="E25" s="18" t="s">
        <v>173</v>
      </c>
      <c r="F25" s="19"/>
      <c r="G25" s="18" t="s">
        <v>174</v>
      </c>
      <c r="I25" s="18" t="s">
        <v>27</v>
      </c>
      <c r="J25" s="16"/>
      <c r="K25" s="29" t="s">
        <v>175</v>
      </c>
      <c r="L25" s="17"/>
      <c r="M25" s="37" t="s">
        <v>176</v>
      </c>
      <c r="N25" s="37"/>
      <c r="O25" s="18"/>
      <c r="P25" s="18"/>
      <c r="Q25" s="18"/>
      <c r="R25" s="17"/>
      <c r="S25" s="71"/>
      <c r="T25" s="71"/>
    </row>
    <row r="26" ht="15.0" customHeight="1">
      <c r="A26" s="70">
        <v>2.0</v>
      </c>
      <c r="B26" s="15">
        <v>0.4625</v>
      </c>
      <c r="C26" s="16"/>
      <c r="D26" s="45" t="s">
        <v>177</v>
      </c>
      <c r="E26" s="18" t="s">
        <v>173</v>
      </c>
      <c r="F26" s="19"/>
      <c r="G26" s="17" t="s">
        <v>178</v>
      </c>
      <c r="I26" s="18" t="s">
        <v>27</v>
      </c>
      <c r="J26" s="16"/>
      <c r="K26" s="72" t="s">
        <v>179</v>
      </c>
      <c r="M26" s="17" t="s">
        <v>180</v>
      </c>
      <c r="N26" s="17"/>
      <c r="O26" s="18"/>
      <c r="P26" s="18"/>
      <c r="Q26" s="18"/>
      <c r="R26" s="17"/>
      <c r="S26" s="71"/>
      <c r="T26" s="71"/>
    </row>
    <row r="27" ht="15.0" customHeight="1">
      <c r="A27" s="70">
        <v>3.0</v>
      </c>
      <c r="B27" s="15">
        <v>0.4666666666666667</v>
      </c>
      <c r="C27" s="16"/>
      <c r="D27" s="45" t="s">
        <v>181</v>
      </c>
      <c r="E27" s="18" t="s">
        <v>173</v>
      </c>
      <c r="F27" s="19"/>
      <c r="G27" s="18" t="s">
        <v>182</v>
      </c>
      <c r="I27" s="18" t="s">
        <v>27</v>
      </c>
      <c r="J27" s="16"/>
      <c r="K27" s="23" t="s">
        <v>183</v>
      </c>
      <c r="L27" s="73"/>
      <c r="M27" s="37" t="s">
        <v>184</v>
      </c>
      <c r="N27" s="37"/>
      <c r="O27" s="37"/>
      <c r="P27" s="37"/>
      <c r="Q27" s="37"/>
      <c r="R27" s="37"/>
    </row>
    <row r="28" ht="15.0" customHeight="1">
      <c r="A28" s="16">
        <v>4.0</v>
      </c>
      <c r="B28" s="74">
        <v>0.4708333333333333</v>
      </c>
      <c r="C28" s="75"/>
      <c r="D28" s="76" t="s">
        <v>185</v>
      </c>
      <c r="E28" s="18" t="s">
        <v>173</v>
      </c>
      <c r="F28" s="19"/>
      <c r="G28" s="18" t="s">
        <v>186</v>
      </c>
      <c r="I28" s="18" t="s">
        <v>27</v>
      </c>
      <c r="J28" s="40"/>
      <c r="K28" s="23" t="s">
        <v>187</v>
      </c>
      <c r="L28" s="18"/>
      <c r="M28" s="18" t="s">
        <v>188</v>
      </c>
      <c r="N28" s="18"/>
      <c r="O28" s="27"/>
      <c r="P28" s="27"/>
      <c r="Q28" s="27"/>
      <c r="R28" s="18"/>
      <c r="S28" s="27"/>
      <c r="T28" s="27"/>
    </row>
    <row r="29" ht="15.0" customHeight="1">
      <c r="A29" s="16">
        <v>5.0</v>
      </c>
      <c r="B29" s="74">
        <v>0.475</v>
      </c>
      <c r="C29" s="75"/>
      <c r="D29" s="45" t="s">
        <v>189</v>
      </c>
      <c r="E29" s="18" t="s">
        <v>173</v>
      </c>
      <c r="F29" s="19"/>
      <c r="G29" s="18" t="s">
        <v>190</v>
      </c>
      <c r="I29" s="18" t="s">
        <v>27</v>
      </c>
      <c r="J29" s="40"/>
      <c r="K29" s="29" t="s">
        <v>191</v>
      </c>
      <c r="L29" s="18"/>
      <c r="M29" s="18" t="s">
        <v>192</v>
      </c>
      <c r="N29" s="18"/>
      <c r="O29" s="27"/>
      <c r="P29" s="27"/>
      <c r="Q29" s="27"/>
      <c r="R29" s="18"/>
      <c r="S29" s="27"/>
      <c r="T29" s="27"/>
    </row>
    <row r="30" ht="15.0" customHeight="1">
      <c r="A30" s="16">
        <v>6.0</v>
      </c>
      <c r="B30" s="74">
        <v>0.4791666666666667</v>
      </c>
      <c r="C30" s="75"/>
      <c r="D30" s="45" t="s">
        <v>193</v>
      </c>
      <c r="E30" s="18" t="s">
        <v>173</v>
      </c>
      <c r="F30" s="19"/>
      <c r="G30" s="18" t="s">
        <v>194</v>
      </c>
      <c r="I30" s="18" t="s">
        <v>27</v>
      </c>
      <c r="J30" s="40"/>
      <c r="K30" s="23" t="s">
        <v>195</v>
      </c>
      <c r="L30" s="18"/>
      <c r="M30" s="18" t="s">
        <v>196</v>
      </c>
      <c r="N30" s="18"/>
      <c r="O30" s="27"/>
      <c r="P30" s="27"/>
      <c r="Q30" s="27"/>
      <c r="R30" s="18"/>
      <c r="S30" s="27"/>
      <c r="T30" s="27"/>
    </row>
    <row r="31" ht="15.0" customHeight="1">
      <c r="A31" s="27"/>
      <c r="B31" s="75"/>
      <c r="C31" s="75"/>
      <c r="D31" s="71"/>
      <c r="E31" s="27"/>
      <c r="F31" s="77"/>
      <c r="G31" s="27"/>
      <c r="H31" s="27"/>
      <c r="I31" s="27"/>
      <c r="J31" s="75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ht="15.0" customHeight="1">
      <c r="A32" s="66" t="s">
        <v>197</v>
      </c>
      <c r="T32" s="67"/>
    </row>
    <row r="33" ht="15.0" customHeight="1">
      <c r="A33" s="16">
        <v>1.0</v>
      </c>
      <c r="B33" s="15">
        <v>0.5486111111111112</v>
      </c>
      <c r="C33" s="75"/>
      <c r="D33" s="71"/>
      <c r="E33" s="18" t="s">
        <v>36</v>
      </c>
      <c r="F33" s="77"/>
      <c r="G33" s="23" t="s">
        <v>198</v>
      </c>
      <c r="I33" s="27"/>
      <c r="J33" s="75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5.0" customHeight="1">
      <c r="A34" s="16">
        <v>2.0</v>
      </c>
      <c r="B34" s="15">
        <v>0.5569444444444445</v>
      </c>
      <c r="C34" s="75"/>
      <c r="D34" s="71"/>
      <c r="E34" s="18" t="s">
        <v>36</v>
      </c>
      <c r="F34" s="77"/>
      <c r="G34" s="23" t="s">
        <v>199</v>
      </c>
      <c r="I34" s="27"/>
      <c r="J34" s="75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5.0" customHeight="1">
      <c r="A35" s="16">
        <v>3.0</v>
      </c>
      <c r="B35" s="15">
        <v>0.5652777777777778</v>
      </c>
      <c r="C35" s="75"/>
      <c r="D35" s="71"/>
      <c r="E35" s="18" t="s">
        <v>36</v>
      </c>
      <c r="F35" s="77"/>
      <c r="G35" s="23" t="s">
        <v>200</v>
      </c>
      <c r="I35" s="27"/>
      <c r="J35" s="75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A36" s="16">
        <v>4.0</v>
      </c>
      <c r="B36" s="15">
        <v>0.5736111111111111</v>
      </c>
      <c r="C36" s="75"/>
      <c r="D36" s="71"/>
      <c r="E36" s="18" t="s">
        <v>36</v>
      </c>
      <c r="F36" s="19" t="s">
        <v>28</v>
      </c>
      <c r="G36" s="23" t="s">
        <v>201</v>
      </c>
      <c r="I36" s="16" t="s">
        <v>202</v>
      </c>
      <c r="J36" s="16" t="s">
        <v>28</v>
      </c>
      <c r="K36" s="27"/>
      <c r="L36" s="29" t="s">
        <v>203</v>
      </c>
      <c r="M36" s="16" t="s">
        <v>28</v>
      </c>
      <c r="N36" s="18" t="s">
        <v>204</v>
      </c>
      <c r="O36" s="18" t="s">
        <v>205</v>
      </c>
      <c r="P36" s="18" t="s">
        <v>206</v>
      </c>
      <c r="Q36" s="27"/>
      <c r="R36" s="27"/>
      <c r="S36" s="27"/>
      <c r="T36" s="27"/>
    </row>
    <row r="37" ht="15.0" customHeight="1">
      <c r="A37" s="16">
        <v>5.0</v>
      </c>
      <c r="B37" s="15">
        <v>0.5819444444444445</v>
      </c>
      <c r="C37" s="75"/>
      <c r="D37" s="17" t="s">
        <v>207</v>
      </c>
      <c r="E37" s="18" t="s">
        <v>36</v>
      </c>
      <c r="F37" s="19" t="s">
        <v>28</v>
      </c>
      <c r="G37" s="23" t="s">
        <v>208</v>
      </c>
      <c r="I37" s="18" t="s">
        <v>209</v>
      </c>
      <c r="J37" s="16" t="s">
        <v>28</v>
      </c>
      <c r="K37" s="27"/>
      <c r="L37" s="23" t="s">
        <v>210</v>
      </c>
      <c r="M37" s="16" t="s">
        <v>28</v>
      </c>
      <c r="N37" s="27"/>
      <c r="O37" s="27"/>
      <c r="P37" s="18" t="s">
        <v>211</v>
      </c>
      <c r="Q37" s="27"/>
      <c r="R37" s="27"/>
      <c r="S37" s="27"/>
      <c r="T37" s="27"/>
    </row>
    <row r="38" ht="15.0" customHeight="1">
      <c r="A38" s="16">
        <v>6.0</v>
      </c>
      <c r="B38" s="15">
        <v>0.5902777777777778</v>
      </c>
      <c r="C38" s="75"/>
      <c r="D38" s="17" t="s">
        <v>212</v>
      </c>
      <c r="E38" s="18" t="s">
        <v>36</v>
      </c>
      <c r="F38" s="77"/>
      <c r="G38" s="23" t="s">
        <v>213</v>
      </c>
      <c r="I38" s="21" t="s">
        <v>214</v>
      </c>
      <c r="J38" s="16" t="s">
        <v>28</v>
      </c>
      <c r="K38" s="29" t="s">
        <v>215</v>
      </c>
      <c r="L38" s="29" t="s">
        <v>216</v>
      </c>
      <c r="M38" s="16" t="s">
        <v>28</v>
      </c>
      <c r="N38" s="18" t="s">
        <v>217</v>
      </c>
      <c r="O38" s="18" t="s">
        <v>218</v>
      </c>
      <c r="P38" s="23" t="s">
        <v>219</v>
      </c>
      <c r="Q38" s="27"/>
      <c r="R38" s="27"/>
      <c r="S38" s="27"/>
      <c r="T38" s="27"/>
    </row>
    <row r="39" ht="15.0" customHeight="1">
      <c r="A39" s="16" t="s">
        <v>220</v>
      </c>
      <c r="I39" s="18"/>
      <c r="J39" s="75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ht="15.0" customHeight="1">
      <c r="A40" s="16">
        <v>7.0</v>
      </c>
      <c r="B40" s="15">
        <v>0.6111111111111112</v>
      </c>
      <c r="C40" s="75"/>
      <c r="D40" s="71"/>
      <c r="E40" s="18" t="s">
        <v>36</v>
      </c>
      <c r="F40" s="77"/>
      <c r="G40" s="23" t="s">
        <v>221</v>
      </c>
      <c r="I40" s="27"/>
      <c r="J40" s="75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ht="15.0" customHeight="1">
      <c r="A41" s="16">
        <v>8.0</v>
      </c>
      <c r="B41" s="15">
        <v>0.6194444444444445</v>
      </c>
      <c r="C41" s="75"/>
      <c r="D41" s="71"/>
      <c r="E41" s="18" t="s">
        <v>36</v>
      </c>
      <c r="F41" s="77"/>
      <c r="G41" s="23" t="s">
        <v>222</v>
      </c>
      <c r="I41" s="27"/>
      <c r="J41" s="75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ht="15.0" customHeight="1">
      <c r="A42" s="16">
        <v>9.0</v>
      </c>
      <c r="B42" s="15">
        <v>0.6277777777777778</v>
      </c>
      <c r="C42" s="75"/>
      <c r="D42" s="17" t="s">
        <v>223</v>
      </c>
      <c r="E42" s="18" t="s">
        <v>36</v>
      </c>
      <c r="F42" s="77"/>
      <c r="G42" s="23" t="s">
        <v>224</v>
      </c>
      <c r="I42" s="16" t="s">
        <v>225</v>
      </c>
      <c r="J42" s="16" t="s">
        <v>28</v>
      </c>
      <c r="K42" s="29" t="s">
        <v>226</v>
      </c>
      <c r="L42" s="23" t="s">
        <v>227</v>
      </c>
      <c r="M42" s="16" t="s">
        <v>28</v>
      </c>
      <c r="N42" s="78" t="s">
        <v>228</v>
      </c>
      <c r="O42" s="78" t="s">
        <v>229</v>
      </c>
      <c r="P42" s="79" t="s">
        <v>230</v>
      </c>
      <c r="Q42" s="27"/>
      <c r="R42" s="27"/>
      <c r="S42" s="27"/>
      <c r="T42" s="27"/>
    </row>
    <row r="43" ht="15.0" customHeight="1">
      <c r="A43" s="16">
        <v>10.0</v>
      </c>
      <c r="B43" s="15">
        <v>0.6361111111111111</v>
      </c>
      <c r="C43" s="75"/>
      <c r="D43" s="71"/>
      <c r="E43" s="18" t="s">
        <v>36</v>
      </c>
      <c r="F43" s="77"/>
      <c r="G43" s="23" t="s">
        <v>231</v>
      </c>
      <c r="I43" s="27"/>
      <c r="J43" s="75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ht="15.0" customHeight="1">
      <c r="A44" s="16">
        <v>11.0</v>
      </c>
      <c r="B44" s="15">
        <v>0.6444444444444445</v>
      </c>
      <c r="C44" s="75"/>
      <c r="D44" s="71"/>
      <c r="E44" s="18" t="s">
        <v>36</v>
      </c>
      <c r="F44" s="77"/>
      <c r="G44" s="23" t="s">
        <v>232</v>
      </c>
      <c r="I44" s="27"/>
      <c r="J44" s="75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ht="15.0" customHeight="1">
      <c r="A45" s="18"/>
      <c r="B45" s="75"/>
      <c r="C45" s="75"/>
      <c r="D45" s="71"/>
      <c r="E45" s="27"/>
      <c r="F45" s="77"/>
      <c r="G45" s="27"/>
      <c r="H45" s="27"/>
      <c r="I45" s="27"/>
      <c r="J45" s="75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ht="15.0" customHeight="1">
      <c r="A46" s="9" t="s">
        <v>233</v>
      </c>
      <c r="T46" s="67"/>
    </row>
    <row r="47" ht="15.0" customHeight="1">
      <c r="A47" s="70">
        <v>1.0</v>
      </c>
      <c r="B47" s="80">
        <v>0.7083333333333334</v>
      </c>
      <c r="C47" s="16"/>
      <c r="D47" s="17" t="s">
        <v>35</v>
      </c>
      <c r="E47" s="18" t="s">
        <v>36</v>
      </c>
      <c r="F47" s="19" t="s">
        <v>28</v>
      </c>
      <c r="G47" s="18" t="s">
        <v>234</v>
      </c>
      <c r="H47" s="18" t="s">
        <v>235</v>
      </c>
      <c r="I47" s="18" t="s">
        <v>39</v>
      </c>
      <c r="J47" s="16" t="s">
        <v>28</v>
      </c>
      <c r="K47" s="18"/>
      <c r="L47" s="29" t="s">
        <v>236</v>
      </c>
      <c r="M47" s="49"/>
      <c r="N47" s="49" t="s">
        <v>42</v>
      </c>
      <c r="O47" s="49" t="s">
        <v>237</v>
      </c>
      <c r="P47" s="49" t="s">
        <v>238</v>
      </c>
      <c r="Q47" s="18"/>
      <c r="R47" s="18"/>
      <c r="S47" s="18"/>
      <c r="T47" s="28" t="str">
        <f>"g0v tw hackathXXn — 成果報告 — "&amp;G47&amp;" ／ "&amp;D47&amp;" — XXX黑客松"</f>
        <v>g0v tw hackathXXn — 成果報告 — 如果中共拖網漁船"意外損壞"台灣對外的所有海纜，3/8 當天還能買 pchome 嗎？ ／ irvin — XXX黑客松</v>
      </c>
    </row>
    <row r="48" ht="15.0" customHeight="1">
      <c r="A48" s="70">
        <v>2.0</v>
      </c>
      <c r="B48" s="70" t="s">
        <v>239</v>
      </c>
      <c r="C48" s="16"/>
      <c r="D48" s="17" t="s">
        <v>240</v>
      </c>
      <c r="E48" s="18" t="s">
        <v>36</v>
      </c>
      <c r="F48" s="19"/>
      <c r="G48" s="18" t="s">
        <v>241</v>
      </c>
      <c r="H48" s="18" t="s">
        <v>242</v>
      </c>
      <c r="I48" s="18"/>
      <c r="J48" s="16"/>
      <c r="K48" s="18"/>
      <c r="L48" s="81" t="s">
        <v>243</v>
      </c>
      <c r="M48" s="18"/>
      <c r="N48" s="18"/>
      <c r="O48" s="18"/>
      <c r="P48" s="18"/>
      <c r="Q48" s="18"/>
      <c r="R48" s="18"/>
      <c r="S48" s="27"/>
      <c r="T48" s="27"/>
    </row>
    <row r="49" ht="15.0" customHeight="1">
      <c r="A49" s="70">
        <v>3.0</v>
      </c>
      <c r="B49" s="70" t="s">
        <v>244</v>
      </c>
      <c r="C49" s="16"/>
      <c r="D49" s="17" t="s">
        <v>134</v>
      </c>
      <c r="E49" s="18" t="s">
        <v>36</v>
      </c>
      <c r="F49" s="19"/>
      <c r="G49" s="18" t="s">
        <v>136</v>
      </c>
      <c r="H49" s="18" t="s">
        <v>137</v>
      </c>
      <c r="I49" s="17" t="s">
        <v>138</v>
      </c>
      <c r="J49" s="16" t="s">
        <v>28</v>
      </c>
      <c r="K49" s="23" t="s">
        <v>139</v>
      </c>
      <c r="L49" s="60"/>
      <c r="M49" s="18"/>
      <c r="N49" s="18"/>
      <c r="O49" s="18"/>
      <c r="P49" s="18"/>
      <c r="Q49" s="18"/>
      <c r="R49" s="18"/>
      <c r="S49" s="27"/>
      <c r="T49" s="27"/>
    </row>
    <row r="50" ht="15.0" customHeight="1">
      <c r="A50" s="70">
        <v>4.0</v>
      </c>
      <c r="B50" s="70" t="s">
        <v>245</v>
      </c>
      <c r="C50" s="16"/>
      <c r="D50" s="17" t="s">
        <v>246</v>
      </c>
      <c r="E50" s="18" t="s">
        <v>36</v>
      </c>
      <c r="F50" s="19"/>
      <c r="G50" s="37" t="s">
        <v>247</v>
      </c>
      <c r="H50" s="37" t="s">
        <v>248</v>
      </c>
      <c r="J50" s="82"/>
      <c r="K50" s="37"/>
      <c r="L50" s="35" t="s">
        <v>249</v>
      </c>
      <c r="M50" s="18"/>
      <c r="N50" s="18"/>
      <c r="O50" s="18"/>
      <c r="P50" s="18"/>
      <c r="Q50" s="18"/>
      <c r="R50" s="18"/>
      <c r="S50" s="18"/>
      <c r="T50" s="18"/>
    </row>
    <row r="51" ht="15.0" customHeight="1">
      <c r="A51" s="70">
        <v>5.0</v>
      </c>
      <c r="B51" s="70" t="s">
        <v>250</v>
      </c>
      <c r="C51" s="16"/>
      <c r="D51" s="17" t="s">
        <v>251</v>
      </c>
      <c r="E51" s="18" t="s">
        <v>36</v>
      </c>
      <c r="F51" s="19"/>
      <c r="G51" s="83" t="s">
        <v>252</v>
      </c>
      <c r="H51" s="83" t="s">
        <v>253</v>
      </c>
      <c r="I51" s="17" t="s">
        <v>58</v>
      </c>
      <c r="J51" s="16" t="s">
        <v>28</v>
      </c>
      <c r="K51" s="38" t="s">
        <v>60</v>
      </c>
      <c r="L51" s="29" t="s">
        <v>254</v>
      </c>
      <c r="M51" s="18" t="s">
        <v>28</v>
      </c>
      <c r="N51" s="37" t="s">
        <v>62</v>
      </c>
      <c r="O51" s="37" t="s">
        <v>63</v>
      </c>
      <c r="P51" s="37" t="s">
        <v>64</v>
      </c>
      <c r="Q51" s="27"/>
      <c r="R51" s="18"/>
      <c r="S51" s="18"/>
      <c r="T51" s="18"/>
    </row>
    <row r="52" ht="15.0" customHeight="1">
      <c r="A52" s="70">
        <v>6.0</v>
      </c>
      <c r="B52" s="70" t="s">
        <v>255</v>
      </c>
      <c r="C52" s="16"/>
      <c r="D52" s="17" t="s">
        <v>256</v>
      </c>
      <c r="E52" s="18" t="s">
        <v>36</v>
      </c>
      <c r="F52" s="19"/>
      <c r="G52" s="18" t="s">
        <v>110</v>
      </c>
      <c r="H52" s="37" t="s">
        <v>257</v>
      </c>
      <c r="I52" s="37" t="s">
        <v>258</v>
      </c>
      <c r="J52" s="16"/>
      <c r="K52" s="34" t="s">
        <v>259</v>
      </c>
      <c r="L52" s="23" t="s">
        <v>259</v>
      </c>
      <c r="M52" s="37"/>
      <c r="N52" s="37" t="s">
        <v>260</v>
      </c>
      <c r="O52" s="37" t="s">
        <v>261</v>
      </c>
      <c r="P52" s="37" t="s">
        <v>262</v>
      </c>
      <c r="Q52" s="37"/>
      <c r="R52" s="18"/>
      <c r="S52" s="27"/>
      <c r="T52" s="27"/>
    </row>
    <row r="53" ht="15.0" customHeight="1">
      <c r="A53" s="70">
        <v>7.0</v>
      </c>
      <c r="B53" s="70" t="s">
        <v>263</v>
      </c>
      <c r="C53" s="16"/>
      <c r="D53" s="17" t="s">
        <v>264</v>
      </c>
      <c r="E53" s="18" t="s">
        <v>36</v>
      </c>
      <c r="F53" s="19"/>
      <c r="G53" s="18"/>
      <c r="H53" s="18"/>
      <c r="I53" s="18"/>
      <c r="J53" s="16"/>
      <c r="K53" s="84" t="s">
        <v>265</v>
      </c>
      <c r="L53" s="18"/>
      <c r="M53" s="49"/>
      <c r="N53" s="49"/>
      <c r="O53" s="49"/>
      <c r="P53" s="49"/>
      <c r="Q53" s="49"/>
      <c r="R53" s="18"/>
      <c r="S53" s="27"/>
      <c r="T53" s="27"/>
    </row>
    <row r="54" ht="15.0" customHeight="1">
      <c r="A54" s="70">
        <v>8.0</v>
      </c>
      <c r="B54" s="70" t="s">
        <v>266</v>
      </c>
      <c r="C54" s="16"/>
      <c r="D54" s="17" t="s">
        <v>267</v>
      </c>
      <c r="E54" s="18" t="s">
        <v>36</v>
      </c>
      <c r="F54" s="19" t="s">
        <v>28</v>
      </c>
      <c r="G54" s="18" t="s">
        <v>268</v>
      </c>
      <c r="H54" s="18" t="s">
        <v>269</v>
      </c>
      <c r="I54" s="18" t="s">
        <v>258</v>
      </c>
      <c r="J54" s="16" t="s">
        <v>28</v>
      </c>
      <c r="K54" s="85" t="s">
        <v>270</v>
      </c>
      <c r="L54" s="18"/>
      <c r="M54" s="16" t="s">
        <v>28</v>
      </c>
      <c r="N54" s="18" t="s">
        <v>271</v>
      </c>
      <c r="O54" s="18" t="s">
        <v>272</v>
      </c>
      <c r="P54" s="18" t="s">
        <v>273</v>
      </c>
      <c r="Q54" s="18"/>
      <c r="R54" s="18"/>
      <c r="S54" s="27"/>
      <c r="T54" s="27"/>
    </row>
    <row r="55" ht="15.0" customHeight="1">
      <c r="A55" s="70">
        <v>9.0</v>
      </c>
      <c r="B55" s="70" t="s">
        <v>274</v>
      </c>
      <c r="C55" s="16"/>
      <c r="D55" s="17" t="s">
        <v>275</v>
      </c>
      <c r="E55" s="18" t="s">
        <v>36</v>
      </c>
      <c r="F55" s="19" t="s">
        <v>28</v>
      </c>
      <c r="G55" s="18" t="s">
        <v>145</v>
      </c>
      <c r="H55" s="18" t="s">
        <v>146</v>
      </c>
      <c r="I55" s="18" t="s">
        <v>258</v>
      </c>
      <c r="J55" s="37" t="s">
        <v>28</v>
      </c>
      <c r="K55" s="35" t="s">
        <v>276</v>
      </c>
      <c r="N55" s="61"/>
      <c r="O55" s="18"/>
      <c r="P55" s="18"/>
      <c r="Q55" s="18"/>
      <c r="R55" s="18"/>
      <c r="S55" s="27"/>
      <c r="T55" s="27"/>
    </row>
    <row r="56" ht="15.0" customHeight="1">
      <c r="A56" s="70">
        <v>10.0</v>
      </c>
      <c r="B56" s="70" t="s">
        <v>277</v>
      </c>
      <c r="C56" s="16"/>
      <c r="D56" s="17"/>
      <c r="E56" s="18"/>
      <c r="F56" s="19"/>
      <c r="G56" s="18"/>
      <c r="H56" s="18"/>
      <c r="I56" s="18"/>
      <c r="J56" s="16"/>
      <c r="K56" s="37"/>
      <c r="L56" s="86"/>
      <c r="M56" s="27"/>
      <c r="N56" s="27"/>
      <c r="O56" s="27"/>
      <c r="P56" s="27"/>
      <c r="Q56" s="27"/>
      <c r="R56" s="27"/>
      <c r="S56" s="27"/>
      <c r="T56" s="27"/>
    </row>
    <row r="57" ht="15.0" customHeight="1">
      <c r="A57" s="70">
        <v>11.0</v>
      </c>
      <c r="B57" s="70" t="s">
        <v>278</v>
      </c>
      <c r="C57" s="16"/>
      <c r="D57" s="17" t="s">
        <v>154</v>
      </c>
      <c r="E57" s="18" t="s">
        <v>36</v>
      </c>
      <c r="F57" s="19"/>
      <c r="G57" s="18" t="s">
        <v>155</v>
      </c>
      <c r="H57" s="18" t="s">
        <v>156</v>
      </c>
      <c r="I57" s="17" t="s">
        <v>157</v>
      </c>
      <c r="J57" s="16" t="s">
        <v>28</v>
      </c>
      <c r="K57" s="64" t="s">
        <v>158</v>
      </c>
      <c r="L57" s="23" t="s">
        <v>279</v>
      </c>
      <c r="M57" s="30" t="s">
        <v>28</v>
      </c>
      <c r="N57" s="65" t="s">
        <v>160</v>
      </c>
      <c r="O57" s="31" t="s">
        <v>161</v>
      </c>
      <c r="P57" s="32" t="s">
        <v>162</v>
      </c>
      <c r="Q57" s="27"/>
      <c r="R57" s="18"/>
      <c r="S57" s="18"/>
      <c r="T57" s="18"/>
    </row>
    <row r="58" ht="15.0" customHeight="1">
      <c r="A58" s="70">
        <v>12.0</v>
      </c>
      <c r="B58" s="70" t="s">
        <v>280</v>
      </c>
      <c r="C58" s="16"/>
      <c r="D58" s="17" t="s">
        <v>281</v>
      </c>
      <c r="E58" s="18" t="s">
        <v>36</v>
      </c>
      <c r="F58" s="19"/>
      <c r="G58" s="18"/>
      <c r="H58" s="18" t="s">
        <v>282</v>
      </c>
      <c r="I58" s="37"/>
      <c r="J58" s="21"/>
      <c r="K58" s="52"/>
      <c r="L58" s="87"/>
      <c r="M58" s="18"/>
      <c r="N58" s="18"/>
      <c r="O58" s="18"/>
      <c r="P58" s="18"/>
      <c r="Q58" s="18"/>
      <c r="R58" s="18"/>
      <c r="S58" s="18"/>
      <c r="T58" s="18"/>
    </row>
    <row r="59" ht="15.0" customHeight="1">
      <c r="A59" s="88"/>
      <c r="B59" s="89"/>
      <c r="C59" s="89"/>
      <c r="D59" s="90"/>
      <c r="E59" s="91"/>
      <c r="F59" s="88"/>
      <c r="G59" s="88"/>
      <c r="H59" s="88"/>
      <c r="I59" s="88"/>
      <c r="J59" s="89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ht="15.0" customHeight="1">
      <c r="A60" s="88"/>
      <c r="B60" s="89"/>
      <c r="C60" s="89"/>
      <c r="D60" s="90"/>
      <c r="E60" s="91"/>
      <c r="F60" s="88"/>
      <c r="G60" s="88"/>
      <c r="H60" s="88"/>
      <c r="I60" s="88"/>
      <c r="J60" s="89"/>
      <c r="K60" s="88"/>
      <c r="L60" s="88"/>
      <c r="M60" s="88"/>
      <c r="N60" s="88"/>
      <c r="O60" s="88"/>
      <c r="P60" s="88"/>
      <c r="Q60" s="88"/>
      <c r="R60" s="88"/>
      <c r="S60" s="88"/>
      <c r="T60" s="88"/>
    </row>
  </sheetData>
  <mergeCells count="29">
    <mergeCell ref="A1:O1"/>
    <mergeCell ref="A3:S3"/>
    <mergeCell ref="A4:O4"/>
    <mergeCell ref="A5:T5"/>
    <mergeCell ref="A23:S23"/>
    <mergeCell ref="G24:H24"/>
    <mergeCell ref="J24:K24"/>
    <mergeCell ref="M24:N24"/>
    <mergeCell ref="O24:P24"/>
    <mergeCell ref="G25:H25"/>
    <mergeCell ref="G26:H26"/>
    <mergeCell ref="G27:H27"/>
    <mergeCell ref="G28:H28"/>
    <mergeCell ref="G29:H29"/>
    <mergeCell ref="G38:H38"/>
    <mergeCell ref="A39:H39"/>
    <mergeCell ref="G40:H40"/>
    <mergeCell ref="G41:H41"/>
    <mergeCell ref="G42:H42"/>
    <mergeCell ref="G43:H43"/>
    <mergeCell ref="G44:H44"/>
    <mergeCell ref="A46:S46"/>
    <mergeCell ref="G30:H30"/>
    <mergeCell ref="A32:S32"/>
    <mergeCell ref="G33:H33"/>
    <mergeCell ref="G34:H34"/>
    <mergeCell ref="G35:H35"/>
    <mergeCell ref="G36:H36"/>
    <mergeCell ref="G37:H37"/>
  </mergeCells>
  <dataValidations>
    <dataValidation type="list" allowBlank="1" sqref="E25:E30">
      <formula1>"實體 on-site,預錄影片"</formula1>
    </dataValidation>
    <dataValidation type="list" allowBlank="1" sqref="E6">
      <formula1>"實體出席,預錄影片"</formula1>
    </dataValidation>
    <dataValidation type="list" allowBlank="1" sqref="E7:E20 E22 E33:E38 E40:E44 E47:E58">
      <formula1>"實體,預錄影片"</formula1>
    </dataValidation>
  </dataValidations>
  <hyperlinks>
    <hyperlink r:id="rId1" ref="J2"/>
    <hyperlink r:id="rId2" ref="A4"/>
    <hyperlink r:id="rId3" ref="A5"/>
    <hyperlink r:id="rId4" ref="L6"/>
    <hyperlink r:id="rId5" ref="R6"/>
    <hyperlink r:id="rId6" ref="K7"/>
    <hyperlink r:id="rId7" location="服務韌性檢測方式（wip）" ref="L7"/>
    <hyperlink r:id="rId8" ref="K8"/>
    <hyperlink r:id="rId9" ref="L8"/>
    <hyperlink r:id="rId10" ref="K9"/>
    <hyperlink r:id="rId11" ref="L9"/>
    <hyperlink r:id="rId12" ref="K10"/>
    <hyperlink r:id="rId13" ref="L10"/>
    <hyperlink r:id="rId14" ref="R10"/>
    <hyperlink r:id="rId15" ref="K11"/>
    <hyperlink r:id="rId16" ref="L11"/>
    <hyperlink r:id="rId17" location="slide=id.g2be7f10a6e8_0_30" ref="L13"/>
    <hyperlink r:id="rId18" ref="K14"/>
    <hyperlink r:id="rId19" ref="L14"/>
    <hyperlink r:id="rId20" ref="H15"/>
    <hyperlink r:id="rId21" ref="K15"/>
    <hyperlink r:id="rId22" ref="L15"/>
    <hyperlink r:id="rId23" ref="K16"/>
    <hyperlink r:id="rId24" ref="L16"/>
    <hyperlink r:id="rId25" ref="L17"/>
    <hyperlink r:id="rId26" ref="K18"/>
    <hyperlink r:id="rId27" location="slide=id.g28caf866bb2_1_0" ref="L18"/>
    <hyperlink r:id="rId28" ref="K19"/>
    <hyperlink r:id="rId29" ref="L19"/>
    <hyperlink r:id="rId30" ref="K20"/>
    <hyperlink r:id="rId31" ref="L20"/>
    <hyperlink r:id="rId32" ref="K22"/>
    <hyperlink r:id="rId33" ref="L22"/>
    <hyperlink r:id="rId34" ref="K25"/>
    <hyperlink r:id="rId35" ref="K26"/>
    <hyperlink r:id="rId36" ref="K27"/>
    <hyperlink r:id="rId37" ref="K28"/>
    <hyperlink r:id="rId38" ref="K29"/>
    <hyperlink r:id="rId39" ref="K30"/>
    <hyperlink r:id="rId40" ref="G33"/>
    <hyperlink r:id="rId41" ref="G34"/>
    <hyperlink r:id="rId42" ref="G35"/>
    <hyperlink r:id="rId43" ref="G36"/>
    <hyperlink r:id="rId44" ref="L36"/>
    <hyperlink r:id="rId45" ref="G37"/>
    <hyperlink r:id="rId46" ref="L37"/>
    <hyperlink r:id="rId47" ref="G38"/>
    <hyperlink r:id="rId48" ref="K38"/>
    <hyperlink r:id="rId49" ref="L38"/>
    <hyperlink r:id="rId50" ref="P38"/>
    <hyperlink r:id="rId51" ref="G40"/>
    <hyperlink r:id="rId52" ref="G41"/>
    <hyperlink r:id="rId53" ref="G42"/>
    <hyperlink r:id="rId54" ref="K42"/>
    <hyperlink r:id="rId55" ref="L42"/>
    <hyperlink r:id="rId56" ref="P42"/>
    <hyperlink r:id="rId57" ref="G43"/>
    <hyperlink r:id="rId58" ref="G44"/>
    <hyperlink r:id="rId59" location="pchome-產品頁-resources-檢測結果" ref="L47"/>
    <hyperlink r:id="rId60" ref="L48"/>
    <hyperlink r:id="rId61" ref="K49"/>
    <hyperlink r:id="rId62" ref="L50"/>
    <hyperlink r:id="rId63" ref="K51"/>
    <hyperlink r:id="rId64" location="slide=id.p" ref="L51"/>
    <hyperlink r:id="rId65" ref="K52"/>
    <hyperlink r:id="rId66" ref="L52"/>
    <hyperlink r:id="rId67" ref="K53"/>
    <hyperlink r:id="rId68" ref="K54"/>
    <hyperlink r:id="rId69" ref="K55"/>
    <hyperlink r:id="rId70" ref="K57"/>
    <hyperlink r:id="rId71" location="/" ref="L57"/>
  </hyperlinks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30" width="5.25"/>
  </cols>
  <sheetData>
    <row r="1" ht="27.0" customHeight="1">
      <c r="A1" s="92"/>
      <c r="B1" s="92"/>
      <c r="C1" s="92"/>
      <c r="D1" s="93"/>
      <c r="E1" s="93"/>
      <c r="F1" s="93"/>
      <c r="G1" s="93"/>
      <c r="H1" s="93"/>
      <c r="I1" s="93"/>
      <c r="J1" s="93"/>
      <c r="O1" s="92"/>
      <c r="P1" s="92"/>
      <c r="Q1" s="92"/>
      <c r="R1" s="94"/>
      <c r="S1" s="95"/>
      <c r="T1" s="95"/>
      <c r="U1" s="95"/>
      <c r="V1" s="96"/>
      <c r="W1" s="97" t="s">
        <v>283</v>
      </c>
      <c r="Y1" s="98"/>
      <c r="Z1" s="99"/>
      <c r="AA1" s="100" t="s">
        <v>284</v>
      </c>
      <c r="AB1" s="101"/>
      <c r="AC1" s="101"/>
      <c r="AD1" s="100" t="s">
        <v>285</v>
      </c>
    </row>
    <row r="2" ht="27.0" customHeight="1">
      <c r="A2" s="102"/>
      <c r="B2" s="102"/>
      <c r="C2" s="102"/>
      <c r="D2" s="103"/>
      <c r="E2" s="103"/>
      <c r="F2" s="103"/>
      <c r="G2" s="103"/>
      <c r="H2" s="103"/>
      <c r="I2" s="103"/>
      <c r="J2" s="103"/>
      <c r="O2" s="102"/>
      <c r="P2" s="102"/>
      <c r="Q2" s="104"/>
      <c r="R2" s="100" t="s">
        <v>286</v>
      </c>
      <c r="S2" s="105" t="s">
        <v>287</v>
      </c>
      <c r="T2" s="100"/>
      <c r="U2" s="100"/>
      <c r="V2" s="106" t="s">
        <v>288</v>
      </c>
      <c r="W2" s="99"/>
      <c r="X2" s="107"/>
      <c r="Y2" s="101"/>
      <c r="Z2" s="99"/>
      <c r="AA2" s="100"/>
      <c r="AB2" s="101"/>
      <c r="AC2" s="101"/>
    </row>
    <row r="3" ht="27.0" customHeight="1">
      <c r="A3" s="102"/>
      <c r="B3" s="108"/>
      <c r="C3" s="108"/>
      <c r="D3" s="94"/>
      <c r="E3" s="94"/>
      <c r="F3" s="109" t="s">
        <v>289</v>
      </c>
      <c r="G3" s="94"/>
      <c r="H3" s="94"/>
      <c r="I3" s="94"/>
      <c r="J3" s="94"/>
      <c r="K3" s="110"/>
      <c r="L3" s="109" t="s">
        <v>290</v>
      </c>
      <c r="M3" s="108"/>
      <c r="N3" s="108"/>
      <c r="O3" s="108"/>
      <c r="P3" s="108"/>
      <c r="Q3" s="111"/>
      <c r="R3" s="100" t="s">
        <v>291</v>
      </c>
      <c r="S3" s="112"/>
      <c r="T3" s="112"/>
      <c r="U3" s="92"/>
      <c r="V3" s="102"/>
      <c r="W3" s="102"/>
      <c r="X3" s="102"/>
      <c r="Y3" s="113"/>
      <c r="Z3" s="102"/>
      <c r="AA3" s="112"/>
      <c r="AB3" s="102"/>
      <c r="AC3" s="102"/>
      <c r="AD3" s="112"/>
    </row>
    <row r="4" ht="27.0" customHeight="1">
      <c r="A4" s="104"/>
      <c r="B4" s="114"/>
      <c r="C4" s="115" t="s">
        <v>110</v>
      </c>
      <c r="D4" s="114"/>
      <c r="E4" s="114"/>
      <c r="F4" s="115" t="s">
        <v>292</v>
      </c>
      <c r="G4" s="114"/>
      <c r="H4" s="114"/>
      <c r="I4" s="116" t="s">
        <v>293</v>
      </c>
      <c r="J4" s="114"/>
      <c r="K4" s="115"/>
      <c r="L4" s="115" t="s">
        <v>294</v>
      </c>
      <c r="M4" s="117"/>
      <c r="N4" s="114"/>
      <c r="O4" s="115" t="s">
        <v>295</v>
      </c>
      <c r="P4" s="114"/>
      <c r="Q4" s="102"/>
      <c r="R4" s="102"/>
      <c r="S4" s="118"/>
      <c r="T4" s="119" t="s">
        <v>296</v>
      </c>
      <c r="U4" s="120"/>
      <c r="V4" s="121"/>
      <c r="W4" s="102"/>
      <c r="X4" s="104"/>
      <c r="Y4" s="102"/>
      <c r="Z4" s="102"/>
      <c r="AA4" s="112"/>
      <c r="AB4" s="92"/>
      <c r="AC4" s="112"/>
      <c r="AD4" s="100" t="s">
        <v>285</v>
      </c>
    </row>
    <row r="5" ht="27.0" customHeight="1">
      <c r="A5" s="104"/>
      <c r="B5" s="102"/>
      <c r="C5" s="122"/>
      <c r="D5" s="121"/>
      <c r="E5" s="102"/>
      <c r="F5" s="118"/>
      <c r="G5" s="121"/>
      <c r="H5" s="102"/>
      <c r="I5" s="123"/>
      <c r="J5" s="121"/>
      <c r="K5" s="102"/>
      <c r="L5" s="124"/>
      <c r="M5" s="125"/>
      <c r="N5" s="102"/>
      <c r="O5" s="126"/>
      <c r="P5" s="125"/>
      <c r="Q5" s="102"/>
      <c r="R5" s="102"/>
      <c r="S5" s="102"/>
      <c r="T5" s="112"/>
      <c r="U5" s="102"/>
      <c r="V5" s="102"/>
      <c r="W5" s="112"/>
      <c r="X5" s="127"/>
      <c r="Y5" s="102"/>
      <c r="Z5" s="102"/>
      <c r="AA5" s="112"/>
      <c r="AB5" s="102"/>
      <c r="AC5" s="102"/>
    </row>
    <row r="6" ht="27.0" customHeight="1">
      <c r="A6" s="100" t="s">
        <v>297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28"/>
      <c r="M6" s="129"/>
      <c r="N6" s="102"/>
      <c r="O6" s="130"/>
      <c r="P6" s="130"/>
      <c r="Q6" s="102"/>
      <c r="R6" s="102"/>
      <c r="S6" s="102"/>
      <c r="T6" s="112"/>
      <c r="U6" s="102"/>
      <c r="V6" s="102"/>
      <c r="W6" s="102"/>
      <c r="X6" s="104"/>
      <c r="Y6" s="102"/>
      <c r="Z6" s="102"/>
      <c r="AA6" s="112"/>
      <c r="AB6" s="102"/>
      <c r="AC6" s="102"/>
      <c r="AD6" s="112"/>
    </row>
    <row r="7" ht="27.0" customHeight="1">
      <c r="A7" s="100" t="s">
        <v>298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3"/>
      <c r="P7" s="102"/>
      <c r="Q7" s="102"/>
      <c r="R7" s="102"/>
      <c r="S7" s="123" t="s">
        <v>299</v>
      </c>
      <c r="T7" s="131"/>
      <c r="U7" s="131"/>
      <c r="V7" s="132"/>
      <c r="W7" s="102"/>
      <c r="X7" s="112"/>
      <c r="Y7" s="100" t="s">
        <v>298</v>
      </c>
      <c r="Z7" s="102"/>
      <c r="AA7" s="112"/>
      <c r="AB7" s="102"/>
      <c r="AC7" s="102"/>
      <c r="AD7" s="102"/>
    </row>
    <row r="8" ht="27.0" customHeight="1">
      <c r="A8" s="100" t="s">
        <v>300</v>
      </c>
      <c r="B8" s="102"/>
      <c r="C8" s="102"/>
      <c r="D8" s="102"/>
      <c r="E8" s="102"/>
      <c r="F8" s="102"/>
      <c r="G8" s="102"/>
      <c r="H8" s="102"/>
      <c r="I8" s="102"/>
      <c r="J8" s="102"/>
      <c r="K8" s="133"/>
      <c r="L8" s="102"/>
      <c r="M8" s="102"/>
      <c r="N8" s="102"/>
      <c r="O8" s="102"/>
      <c r="P8" s="134"/>
      <c r="Q8" s="134"/>
      <c r="R8" s="134"/>
      <c r="S8" s="102"/>
      <c r="T8" s="102"/>
      <c r="U8" s="112"/>
      <c r="V8" s="102"/>
      <c r="W8" s="102"/>
      <c r="X8" s="112"/>
      <c r="Y8" s="100" t="s">
        <v>301</v>
      </c>
      <c r="Z8" s="102"/>
      <c r="AA8" s="92"/>
      <c r="AB8" s="102"/>
      <c r="AC8" s="102"/>
      <c r="AD8" s="102"/>
    </row>
    <row r="9" ht="27.0" customHeight="1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12"/>
      <c r="Y9" s="100" t="s">
        <v>302</v>
      </c>
      <c r="Z9" s="102"/>
      <c r="AA9" s="102"/>
      <c r="AB9" s="102"/>
      <c r="AC9" s="102"/>
      <c r="AD9" s="102"/>
    </row>
    <row r="10" ht="27.0" customHeight="1">
      <c r="A10" s="104"/>
      <c r="B10" s="102"/>
      <c r="C10" s="135" t="s">
        <v>303</v>
      </c>
      <c r="D10" s="132"/>
      <c r="E10" s="102"/>
      <c r="F10" s="123" t="s">
        <v>304</v>
      </c>
      <c r="G10" s="132"/>
      <c r="H10" s="102"/>
      <c r="I10" s="102"/>
      <c r="J10" s="102"/>
      <c r="K10" s="102"/>
      <c r="L10" s="102"/>
      <c r="M10" s="102"/>
      <c r="N10" s="114"/>
      <c r="O10" s="115" t="s">
        <v>305</v>
      </c>
      <c r="P10" s="102"/>
      <c r="Q10" s="102"/>
      <c r="R10" s="102"/>
      <c r="S10" s="102"/>
      <c r="T10" s="102"/>
      <c r="U10" s="102"/>
      <c r="V10" s="102"/>
      <c r="W10" s="136"/>
      <c r="X10" s="136"/>
      <c r="Y10" s="113"/>
      <c r="Z10" s="102"/>
      <c r="AA10" s="102"/>
      <c r="AB10" s="102"/>
      <c r="AC10" s="102"/>
      <c r="AD10" s="102"/>
    </row>
    <row r="11" ht="27.0" customHeight="1">
      <c r="A11" s="104"/>
      <c r="B11" s="102"/>
      <c r="C11" s="102"/>
      <c r="D11" s="102"/>
      <c r="E11" s="102"/>
      <c r="F11" s="102"/>
      <c r="G11" s="102"/>
      <c r="H11" s="102"/>
      <c r="I11" s="102"/>
      <c r="J11" s="102"/>
      <c r="K11" s="115" t="s">
        <v>306</v>
      </c>
      <c r="L11" s="137"/>
      <c r="M11" s="102"/>
      <c r="N11" s="118"/>
      <c r="O11" s="121"/>
      <c r="P11" s="102"/>
      <c r="Q11" s="102"/>
      <c r="R11" s="102"/>
      <c r="S11" s="102"/>
      <c r="T11" s="102"/>
      <c r="U11" s="102"/>
      <c r="V11" s="102"/>
      <c r="W11" s="102"/>
      <c r="X11" s="102"/>
      <c r="Y11" s="113"/>
      <c r="Z11" s="102"/>
      <c r="AA11" s="102"/>
      <c r="AB11" s="102"/>
      <c r="AC11" s="102"/>
      <c r="AD11" s="102"/>
    </row>
    <row r="12" ht="27.0" customHeight="1">
      <c r="A12" s="102"/>
      <c r="B12" s="130"/>
      <c r="C12" s="130"/>
      <c r="D12" s="130"/>
      <c r="E12" s="130"/>
      <c r="F12" s="130"/>
      <c r="G12" s="138"/>
      <c r="H12" s="115" t="s">
        <v>307</v>
      </c>
      <c r="I12" s="137"/>
      <c r="J12" s="102"/>
      <c r="L12" s="139"/>
      <c r="M12" s="102"/>
      <c r="N12" s="102"/>
      <c r="O12" s="102"/>
      <c r="P12" s="140"/>
      <c r="Q12" s="137"/>
      <c r="R12" s="140" t="s">
        <v>308</v>
      </c>
      <c r="S12" s="102"/>
      <c r="T12" s="102"/>
      <c r="U12" s="102"/>
      <c r="V12" s="102"/>
      <c r="W12" s="102"/>
      <c r="X12" s="102"/>
      <c r="Y12" s="113"/>
      <c r="Z12" s="102"/>
      <c r="AA12" s="102"/>
      <c r="AB12" s="102"/>
      <c r="AC12" s="102"/>
      <c r="AD12" s="102"/>
    </row>
    <row r="13" ht="27.0" customHeight="1">
      <c r="A13" s="102"/>
      <c r="B13" s="102"/>
      <c r="C13" s="102"/>
      <c r="D13" s="102"/>
      <c r="E13" s="102"/>
      <c r="F13" s="102"/>
      <c r="G13" s="104"/>
      <c r="H13" s="115" t="s">
        <v>309</v>
      </c>
      <c r="I13" s="139"/>
      <c r="J13" s="102"/>
      <c r="K13" s="112"/>
      <c r="L13" s="102"/>
      <c r="M13" s="102"/>
      <c r="N13" s="102"/>
      <c r="O13" s="102"/>
      <c r="P13" s="140"/>
      <c r="Q13" s="139"/>
      <c r="R13" s="102"/>
      <c r="S13" s="102"/>
      <c r="T13" s="102"/>
      <c r="U13" s="102"/>
      <c r="V13" s="102"/>
      <c r="W13" s="102"/>
      <c r="X13" s="102"/>
      <c r="Y13" s="113"/>
      <c r="Z13" s="102"/>
      <c r="AA13" s="102"/>
      <c r="AB13" s="102"/>
      <c r="AC13" s="102"/>
      <c r="AD13" s="102"/>
    </row>
    <row r="14" ht="27.0" customHeight="1">
      <c r="A14" s="102"/>
      <c r="B14" s="102"/>
      <c r="C14" s="102"/>
      <c r="D14" s="102"/>
      <c r="E14" s="102"/>
      <c r="F14" s="102"/>
      <c r="G14" s="104"/>
      <c r="H14" s="102"/>
      <c r="I14" s="112" t="s">
        <v>310</v>
      </c>
      <c r="J14" s="102"/>
      <c r="K14" s="141" t="s">
        <v>311</v>
      </c>
      <c r="L14" s="125"/>
      <c r="M14" s="102"/>
      <c r="P14" s="102"/>
      <c r="Q14" s="102"/>
      <c r="R14" s="102"/>
      <c r="S14" s="102"/>
      <c r="T14" s="102"/>
      <c r="U14" s="102"/>
      <c r="V14" s="102"/>
      <c r="W14" s="102"/>
      <c r="X14" s="104"/>
      <c r="Y14" s="102"/>
      <c r="Z14" s="102"/>
      <c r="AA14" s="102"/>
      <c r="AB14" s="102"/>
      <c r="AC14" s="102"/>
      <c r="AD14" s="102"/>
    </row>
    <row r="15" ht="27.0" customHeight="1">
      <c r="A15" s="102"/>
      <c r="B15" s="102"/>
      <c r="C15" s="102"/>
      <c r="D15" s="102"/>
      <c r="E15" s="102"/>
      <c r="F15" s="102"/>
      <c r="G15" s="104"/>
      <c r="H15" s="102"/>
      <c r="I15" s="102"/>
      <c r="J15" s="102"/>
      <c r="K15" s="142" t="s">
        <v>312</v>
      </c>
      <c r="L15" s="143"/>
      <c r="M15" s="102"/>
      <c r="N15" s="118"/>
      <c r="O15" s="121"/>
      <c r="P15" s="102"/>
      <c r="Q15" s="102"/>
      <c r="R15" s="102"/>
      <c r="S15" s="102"/>
      <c r="T15" s="102"/>
      <c r="U15" s="102"/>
      <c r="V15" s="102"/>
      <c r="W15" s="102"/>
      <c r="X15" s="112"/>
      <c r="Y15" s="100" t="s">
        <v>298</v>
      </c>
      <c r="Z15" s="102"/>
      <c r="AA15" s="102"/>
      <c r="AB15" s="102"/>
      <c r="AC15" s="102"/>
      <c r="AD15" s="102"/>
    </row>
    <row r="16" ht="27.0" customHeight="1">
      <c r="A16" s="102"/>
      <c r="B16" s="102"/>
      <c r="C16" s="102"/>
      <c r="D16" s="102"/>
      <c r="E16" s="102"/>
      <c r="F16" s="102"/>
      <c r="G16" s="144"/>
      <c r="H16" s="102"/>
      <c r="I16" s="102"/>
      <c r="J16" s="102"/>
      <c r="K16" s="102"/>
      <c r="L16" s="102"/>
      <c r="M16" s="102"/>
      <c r="N16" s="115" t="s">
        <v>87</v>
      </c>
      <c r="O16" s="102"/>
      <c r="Q16" s="102"/>
      <c r="R16" s="102"/>
      <c r="S16" s="145"/>
      <c r="T16" s="102"/>
      <c r="U16" s="102"/>
      <c r="V16" s="102"/>
      <c r="W16" s="102"/>
      <c r="X16" s="112"/>
      <c r="Y16" s="100" t="s">
        <v>301</v>
      </c>
      <c r="Z16" s="102"/>
      <c r="AA16" s="102"/>
      <c r="AB16" s="102"/>
      <c r="AC16" s="102"/>
      <c r="AD16" s="102"/>
    </row>
    <row r="17" ht="27.0" customHeight="1">
      <c r="A17" s="102"/>
      <c r="B17" s="102"/>
      <c r="C17" s="102"/>
      <c r="D17" s="102"/>
      <c r="E17" s="102"/>
      <c r="F17" s="102"/>
      <c r="G17" s="146"/>
      <c r="H17" s="102"/>
      <c r="I17" s="102"/>
      <c r="J17" s="102"/>
      <c r="K17" s="102"/>
      <c r="L17" s="102"/>
      <c r="M17" s="102"/>
      <c r="N17" s="102"/>
      <c r="O17" s="102"/>
      <c r="Q17" s="147"/>
      <c r="R17" s="102"/>
      <c r="S17" s="112"/>
      <c r="T17" s="102"/>
      <c r="U17" s="147"/>
      <c r="V17" s="102"/>
      <c r="W17" s="102"/>
      <c r="X17" s="112"/>
      <c r="Y17" s="100" t="s">
        <v>302</v>
      </c>
      <c r="Z17" s="102"/>
      <c r="AA17" s="102"/>
      <c r="AB17" s="102"/>
      <c r="AC17" s="102"/>
      <c r="AD17" s="102"/>
    </row>
    <row r="18" ht="27.0" customHeight="1">
      <c r="A18" s="102"/>
      <c r="B18" s="102"/>
      <c r="C18" s="102"/>
      <c r="D18" s="102"/>
      <c r="E18" s="102"/>
      <c r="F18" s="102"/>
      <c r="G18" s="148" t="s">
        <v>313</v>
      </c>
      <c r="H18" s="102"/>
      <c r="I18" s="147"/>
      <c r="J18" s="147"/>
      <c r="K18" s="147"/>
      <c r="L18" s="147"/>
      <c r="M18" s="147"/>
      <c r="N18" s="102"/>
      <c r="O18" s="102"/>
      <c r="Q18" s="145"/>
      <c r="R18" s="102"/>
      <c r="S18" s="149" t="s">
        <v>314</v>
      </c>
      <c r="T18" s="102"/>
      <c r="U18" s="145"/>
      <c r="V18" s="102"/>
      <c r="W18" s="102"/>
      <c r="X18" s="102"/>
      <c r="Y18" s="113"/>
      <c r="Z18" s="102"/>
      <c r="AA18" s="102"/>
      <c r="AB18" s="102"/>
      <c r="AC18" s="102"/>
      <c r="AD18" s="102"/>
    </row>
    <row r="19" ht="27.0" customHeight="1">
      <c r="A19" s="102"/>
      <c r="B19" s="102"/>
      <c r="C19" s="102"/>
      <c r="D19" s="102"/>
      <c r="E19" s="102"/>
      <c r="F19" s="102"/>
      <c r="G19" s="148" t="s">
        <v>313</v>
      </c>
      <c r="H19" s="102"/>
      <c r="I19" s="147"/>
      <c r="J19" s="147"/>
      <c r="K19" s="147"/>
      <c r="L19" s="147"/>
      <c r="M19" s="147"/>
      <c r="N19" s="102"/>
      <c r="O19" s="102"/>
      <c r="Q19" s="102"/>
      <c r="R19" s="102"/>
      <c r="S19" s="148" t="s">
        <v>315</v>
      </c>
      <c r="T19" s="102"/>
      <c r="U19" s="102"/>
      <c r="V19" s="102"/>
      <c r="W19" s="102"/>
      <c r="X19" s="102"/>
      <c r="Y19" s="113"/>
      <c r="Z19" s="102"/>
      <c r="AA19" s="102"/>
      <c r="AB19" s="102"/>
      <c r="AC19" s="102"/>
      <c r="AD19" s="112"/>
    </row>
    <row r="20" ht="27.0" customHeight="1">
      <c r="A20" s="102"/>
      <c r="B20" s="102"/>
      <c r="C20" s="102"/>
      <c r="D20" s="102"/>
      <c r="E20" s="102"/>
      <c r="F20" s="102"/>
      <c r="G20" s="148" t="s">
        <v>316</v>
      </c>
      <c r="H20" s="102"/>
      <c r="I20" s="102"/>
      <c r="J20" s="102"/>
      <c r="K20" s="114"/>
      <c r="L20" s="115" t="s">
        <v>317</v>
      </c>
      <c r="M20" s="102"/>
      <c r="N20" s="102"/>
      <c r="O20" s="102"/>
      <c r="Q20" s="145"/>
      <c r="R20" s="102"/>
      <c r="S20" s="150" t="s">
        <v>318</v>
      </c>
      <c r="T20" s="102"/>
      <c r="U20" s="151"/>
      <c r="V20" s="102"/>
      <c r="W20" s="102"/>
      <c r="X20" s="102"/>
      <c r="Y20" s="113"/>
      <c r="Z20" s="102"/>
      <c r="AA20" s="102"/>
      <c r="AB20" s="102"/>
      <c r="AC20" s="102"/>
      <c r="AD20" s="112"/>
    </row>
    <row r="21" ht="27.0" customHeight="1">
      <c r="A21" s="102"/>
      <c r="B21" s="102"/>
      <c r="C21" s="102"/>
      <c r="D21" s="102"/>
      <c r="E21" s="102"/>
      <c r="F21" s="102"/>
      <c r="G21" s="150" t="s">
        <v>319</v>
      </c>
      <c r="H21" s="113"/>
      <c r="I21" s="102"/>
      <c r="J21" s="102"/>
      <c r="K21" s="102"/>
      <c r="L21" s="118"/>
      <c r="M21" s="121"/>
      <c r="N21" s="102"/>
      <c r="O21" s="102"/>
      <c r="Q21" s="102"/>
      <c r="R21" s="102"/>
      <c r="S21" s="102"/>
      <c r="T21" s="102"/>
      <c r="U21" s="102"/>
      <c r="V21" s="102"/>
      <c r="W21" s="102"/>
      <c r="X21" s="102"/>
      <c r="Y21" s="113"/>
      <c r="Z21" s="102"/>
      <c r="AA21" s="102"/>
      <c r="AB21" s="102"/>
      <c r="AC21" s="102"/>
      <c r="AD21" s="100" t="s">
        <v>285</v>
      </c>
    </row>
    <row r="22" ht="27.0" customHeight="1">
      <c r="A22" s="102"/>
      <c r="B22" s="102"/>
      <c r="C22" s="102"/>
      <c r="D22" s="102"/>
      <c r="E22" s="102"/>
      <c r="F22" s="102"/>
      <c r="G22" s="102"/>
      <c r="H22" s="113"/>
      <c r="I22" s="102"/>
      <c r="J22" s="102"/>
      <c r="K22" s="102"/>
      <c r="L22" s="102"/>
      <c r="M22" s="102"/>
      <c r="N22" s="102"/>
      <c r="O22" s="102"/>
      <c r="Q22" s="102"/>
      <c r="R22" s="102"/>
      <c r="S22" s="147"/>
      <c r="T22" s="102"/>
      <c r="U22" s="102"/>
      <c r="V22" s="102"/>
      <c r="W22" s="102"/>
      <c r="X22" s="102"/>
      <c r="Y22" s="113"/>
      <c r="Z22" s="102"/>
      <c r="AA22" s="102"/>
      <c r="AB22" s="112"/>
      <c r="AC22" s="112"/>
    </row>
    <row r="23" ht="27.0" customHeight="1">
      <c r="A23" s="102"/>
      <c r="B23" s="102"/>
      <c r="C23" s="102"/>
      <c r="D23" s="102"/>
      <c r="E23" s="102"/>
      <c r="F23" s="102"/>
      <c r="G23" s="102"/>
      <c r="H23" s="152"/>
      <c r="I23" s="145"/>
      <c r="J23" s="108"/>
      <c r="K23" s="153"/>
      <c r="L23" s="154"/>
      <c r="M23" s="155" t="s">
        <v>320</v>
      </c>
      <c r="N23" s="108"/>
      <c r="O23" s="108"/>
      <c r="P23" s="156"/>
      <c r="Q23" s="108"/>
      <c r="R23" s="108"/>
      <c r="S23" s="145"/>
      <c r="T23" s="108"/>
      <c r="U23" s="108"/>
      <c r="V23" s="108"/>
      <c r="W23" s="108"/>
      <c r="X23" s="108"/>
      <c r="Y23" s="152"/>
      <c r="Z23" s="108"/>
      <c r="AA23" s="108"/>
      <c r="AB23" s="157" t="s">
        <v>284</v>
      </c>
      <c r="AC23" s="108"/>
      <c r="AD23" s="153"/>
    </row>
    <row r="24" ht="27.0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47"/>
      <c r="L24" s="158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</row>
  </sheetData>
  <mergeCells count="12">
    <mergeCell ref="C10:D10"/>
    <mergeCell ref="F10:G10"/>
    <mergeCell ref="K11:K12"/>
    <mergeCell ref="K15:L15"/>
    <mergeCell ref="AD21:AD22"/>
    <mergeCell ref="J1:N1"/>
    <mergeCell ref="W1:X1"/>
    <mergeCell ref="AD1:AD2"/>
    <mergeCell ref="J2:N2"/>
    <mergeCell ref="AD4:AD5"/>
    <mergeCell ref="S7:V7"/>
    <mergeCell ref="A8:A9"/>
  </mergeCells>
  <conditionalFormatting sqref="AA8">
    <cfRule type="notContainsBlanks" dxfId="0" priority="1">
      <formula>LEN(TRIM(AA8))&gt;0</formula>
    </cfRule>
  </conditionalFormatting>
  <drawing r:id="rId1"/>
</worksheet>
</file>