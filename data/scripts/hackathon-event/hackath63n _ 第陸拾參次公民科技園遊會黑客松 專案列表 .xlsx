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<sst xmlns="http://schemas.openxmlformats.org/spreadsheetml/2006/main" count="344" uniqueCount="212">
  <si>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</si>
  <si>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</si>
  <si>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</si>
  <si>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</si>
  <si>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</si>
  <si>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</si>
  <si>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</si>
  <si>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</si>
  <si>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</si>
  <si>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</si>
  <si>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</si>
  <si>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</si>
  <si>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</si>
  <si>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</t>
  </si>
  <si>
    <t>youtube url: 專案報告 或是 預錄影片</t>
  </si>
  <si>
    <t>youtube url: 成果報告</t>
  </si>
  <si>
    <t>youtube title</t>
  </si>
  <si>
    <t>09:30開場，09:40提案開始【3分鐘提案報名】每個 present 3min，提案、徵人。</t>
  </si>
  <si>
    <t>＊無法實體出席者，建議以預錄影片提案。並將提案影片連結填在欄位「O：youtube url 或是 預錄影片」</t>
  </si>
  <si>
    <t>揪松團</t>
  </si>
  <si>
    <t>實體</t>
  </si>
  <si>
    <t>y</t>
  </si>
  <si>
    <t>繁體中文 AI 開源實踐計畫</t>
  </si>
  <si>
    <t>六組專案開源成果推廣 ! 蒐集「公民科技專案如何運用生成式 AI？」實踐經驗與方向建議</t>
  </si>
  <si>
    <t>https://ai-grant.tw/</t>
  </si>
  <si>
    <t>Y</t>
  </si>
  <si>
    <t>g0v Slack 頻道 #ai-learning</t>
  </si>
  <si>
    <t>SeanGau</t>
  </si>
  <si>
    <r>
      <rPr>
        <color rgb="FF1155CC"/>
        <u/>
      </rPr>
      <t>g0v.tw</t>
    </r>
    <r>
      <rPr/>
      <t xml:space="preserve"> 社群心得</t>
    </r>
  </si>
  <si>
    <r>
      <rPr/>
      <t xml:space="preserve">大家一起來寫社群心得！讓 </t>
    </r>
    <r>
      <rPr>
        <color rgb="FF1155CC"/>
        <u/>
      </rPr>
      <t>g0v.tw</t>
    </r>
    <r>
      <rPr/>
      <t xml:space="preserve"> 更豐富</t>
    </r>
  </si>
  <si>
    <t>拉人更輕鬆 - 專案進度回顧與未來目標 - HackMD</t>
  </si>
  <si>
    <t>基礎建設、社群心得、g0vtw</t>
  </si>
  <si>
    <t>沒有人</t>
  </si>
  <si>
    <t>@seangau</t>
  </si>
  <si>
    <t>T</t>
  </si>
  <si>
    <t>論證: 
公共議題論述匯整平台</t>
  </si>
  <si>
    <t>開發進度說明 &amp; 平台功能討論！</t>
  </si>
  <si>
    <t>CC0</t>
  </si>
  <si>
    <t>https://docs.google.com/presentation/d/1EhV85QJGjojrn56yUAz7G-x8JQ17cxzI4GJLYnUXRsw/edit?usp=sharing</t>
  </si>
  <si>
    <t>數位公共參與、事實查核、視覺化</t>
  </si>
  <si>
    <t>前後端、UI/UX</t>
  </si>
  <si>
    <t>g0v Slack #statement_proof-論證平台 @T</t>
  </si>
  <si>
    <t>Peter</t>
  </si>
  <si>
    <t xml:space="preserve">vtaiwan </t>
  </si>
  <si>
    <t>大家來找碴！數位公共參與工具！
Let’s Survey more digital participatory tools!</t>
  </si>
  <si>
    <t>CC-BY-SA</t>
  </si>
  <si>
    <t>https://g0v.hackmd.io/@Pno233SAS8G5UfL5OvSRmA/SkXZk8UdR/%2FrxuKtr99SJ-eyvvFUDwr9A</t>
  </si>
  <si>
    <r>
      <rPr>
        <color rgb="FF1155CC"/>
        <u/>
      </rPr>
      <t>https://docs.google.com/presentation/d/1HPSeCMzVo5jWDm7DYOiLmx6HHv5_lHj15sVe34x3aSw/edit?usp=sharing</t>
    </r>
    <r>
      <rPr/>
      <t xml:space="preserve">
詳細資料(多語言)
Detailed Presentation - Multilingual
https://drive.google.com/drive/folders/1z9p1_VgNhOrcDSEDDtFdVONmW1ex-w33?usp=drive_link
</t>
    </r>
  </si>
  <si>
    <t>找資料、填空格、數位公共參與工具 
We welcome foreigners to join!</t>
  </si>
  <si>
    <t xml:space="preserve">能夠讀英文、或其他外文（資料是英文與其他外文）、搜尋資料、對於審議有興趣或經驗的人
If you speak English, French, German, or other languages, it would be great! </t>
  </si>
  <si>
    <t>g0v slack #vtaiwan @Peter</t>
  </si>
  <si>
    <t>Q9="g0v tw hackath63n — 提案 — "&amp;G9&amp;" ／ "&amp;D9&amp;" — 公民科技園遊會黑客松"</t>
  </si>
  <si>
    <t>a0kman</t>
  </si>
  <si>
    <t>AgriPuzzle</t>
  </si>
  <si>
    <t>農業~~~~~~~天坑</t>
  </si>
  <si>
    <t>https://docs.google.com/presentation/d/1EnMFBHt-VRcHKJlW0_ItAaUAAdudZj2_cL4XkL0jH40/edit?usp=sharing</t>
  </si>
  <si>
    <t>農業、格式、跨國</t>
  </si>
  <si>
    <t xml:space="preserve">工程師，前端and後端
資訊相關設計師
各國農業研究者
生成式AI中重度使用者
文書資料整理需求(TXT)
</t>
  </si>
  <si>
    <t>g0v slack  @a0kman</t>
  </si>
  <si>
    <t>Tofus</t>
  </si>
  <si>
    <t>#design</t>
  </si>
  <si>
    <t>給行動者的 figma 指南｜有人想做 canva 模板嗎？</t>
  </si>
  <si>
    <t>CC-BY</t>
  </si>
  <si>
    <t>https://g0v.hackmd.io/3GkM1QjnQwmatprMfsmSLg</t>
  </si>
  <si>
    <t>https://www.figma.com/design/wij5K5OZtDm6q82roiuNDT/%E7%B5%A6%E8%A1%8C%E5%8B%95%E8%80%85%E7%9A%84%E7%B0%A1%E6%98%93%E7%89%88-Figma-%E6%95%99%E5%AD%B8?node-id=1-4&amp;t=bygnJLI5DTZwCFeV-1</t>
  </si>
  <si>
    <t>設計、figma、canva</t>
  </si>
  <si>
    <t>會用 figma 的人
想學 figma 的人
會用 canva 的人</t>
  </si>
  <si>
    <t>g0v slack #designer @tofus</t>
  </si>
  <si>
    <t>Tiff</t>
  </si>
  <si>
    <t>g0v 公民科技專案與社群手冊</t>
  </si>
  <si>
    <t>g0v 公民科技專案與社群手冊 v2 邀請社群 review</t>
  </si>
  <si>
    <t>CC BY-NC</t>
  </si>
  <si>
    <t>https://docs.google.com/document/d/1l_yb8OsB4fFW_vpgObUoZoPIJ1FY8CFuW2xdrRh0VGQ/edit</t>
  </si>
  <si>
    <t>https://docs.google.com/presentation/d/1WtpCfbQya2thSy-wmLkJE4WW3mosBewW7fQBGJbDiF8/edit?usp=sharing</t>
  </si>
  <si>
    <t>公民科技基礎建設、數位公民素養、各國公民科技經驗</t>
  </si>
  <si>
    <t>有意願閱讀給予手冊回饋的好心人，適合新參者及任何對公民科技或數位公民有興趣者</t>
  </si>
  <si>
    <t>g0v slack #jothon @tiff</t>
  </si>
  <si>
    <t>水保署與農科院</t>
  </si>
  <si>
    <t>歷史照片加值應用</t>
  </si>
  <si>
    <t>在歷史影像平台開放民眾進行歷史照片定位，了解歷史事件發生經過</t>
  </si>
  <si>
    <r>
      <rPr>
        <rFont val="Arial"/>
        <color rgb="FF000000"/>
      </rPr>
      <t>CC-BY</t>
    </r>
  </si>
  <si>
    <t>https://docs.google.com/document/d/1XvwPzErp951BAQLKv7A5yO0sB5XZhnrb1ucWWroQ9YQ/edit</t>
  </si>
  <si>
    <t>https://docs.google.com/presentation/d/141Yyrh36PxddrLFsnu3lUPf-Et57njVy/edit?usp=drive_link&amp;ouid=108067934524761499772&amp;rtpof=true&amp;sd=true</t>
  </si>
  <si>
    <t>照片資料庫、公私協力、GIS及照片地理坐標</t>
  </si>
  <si>
    <t>拍照、geo定位、網頁技術、資料應用(產品或服務)</t>
  </si>
  <si>
    <t>wsadjk47@mail.ardsrc.gov.tw</t>
  </si>
  <si>
    <t>Irvin</t>
  </si>
  <si>
    <t>繁體中文語料庫 / common voice</t>
  </si>
  <si>
    <t>建立高品質的繁體中文語料
Common Voice 語音庫宣傳</t>
  </si>
  <si>
    <t>https://hackmd.io/team/moztw?nav=search&amp;q=common</t>
  </si>
  <si>
    <t>https://hackmd.io/@moztw/cv-at-g0v-63</t>
  </si>
  <si>
    <t xml:space="preserve">語料, 錄音, </t>
  </si>
  <si>
    <t>台語書寫
華語/繁中
族語</t>
  </si>
  <si>
    <t xml:space="preserve">slack @irvin
telegram: common voice </t>
  </si>
  <si>
    <t>Caleb</t>
  </si>
  <si>
    <t>Pedestrian Rights (Name TBD) 行人權利（名稱待定）</t>
  </si>
  <si>
    <t>改善台北的行人權利。</t>
  </si>
  <si>
    <t>AGPL-3 / CC-BY</t>
  </si>
  <si>
    <t>https://hackmd.io/@i6x1MuXFR0q_Reh6_uOQDw/S16eR4nnR</t>
  </si>
  <si>
    <t>https://youtu.be/ziuJRl-FL40</t>
  </si>
  <si>
    <t>也許,我們是,皇帝</t>
  </si>
  <si>
    <t>喜歡散步的人
前端工程師或具有使用開源 CSV 資料在網路上建立地圖的經驗或興趣的人員
有社群媒體經驗或攝影經驗的人
有向地方政府施壓經驗的人</t>
  </si>
  <si>
    <t>caleb@calebjay.com
g0v slack: Caleb Rogers</t>
  </si>
  <si>
    <t>Paul</t>
  </si>
  <si>
    <t>數位韌性松</t>
  </si>
  <si>
    <t>Meshtastic 推廣及應用開發</t>
  </si>
  <si>
    <t>GPL v3, 
CC-BY-SA</t>
  </si>
  <si>
    <t>s.g0v.tw/resi</t>
  </si>
  <si>
    <t>chewei</t>
  </si>
  <si>
    <t>Joinplus</t>
  </si>
  <si>
    <t>「一年約 0.4 兆元政府採購行為與計畫應落實公民參與」決標資料分析方法介紹與招募跳坑資料更新</t>
  </si>
  <si>
    <t>cc-by</t>
  </si>
  <si>
    <t>https://g0v.hackmd.io/@chewei/joinplus/https%3A%2F%2Fg0v.hackmd.io%2F%40chewei%2FHk7hOYwU3</t>
  </si>
  <si>
    <t>https://docs.google.com/presentation/d/1hpgPPSbAfsYKMCDbYDZa0iwJHZA0DWYe339ft42Xf48/edit</t>
  </si>
  <si>
    <t>政府採購標案資料, 公民參與, 數位工具</t>
  </si>
  <si>
    <t>爬資料, 資料標記, 資料庫</t>
  </si>
  <si>
    <t>g0v Slack #joinplus-關注公民參與的數位工具</t>
  </si>
  <si>
    <t>MrOrz</t>
  </si>
  <si>
    <t>Cofacts 真的假的 &amp; Open165 反詐筆記</t>
  </si>
  <si>
    <t>Cofacts 真的假的 /  幫 165 資料強化 SEO</t>
  </si>
  <si>
    <t>Cofacts: MIT, 
CC-BY-SA
Open165: AGPL</t>
  </si>
  <si>
    <t>https://cofacts.tw/hack</t>
  </si>
  <si>
    <t>https://docs.google.com/presentation/d/1HuEinyZqkE5WF0HuVFXznfaeMyLzN24ixAwUNxhIkqA/edit#slide=id.g28caf866bb2_1_0</t>
  </si>
  <si>
    <t>程式開發、事實查核、防詐文案</t>
  </si>
  <si>
    <t>會 Google 找資料的人
會 NodeJS / ReactJS 的人
被詐騙過 or 有防詐經驗的人
UI / UX Designer</t>
  </si>
  <si>
    <t>g0v slack #cofacts @mrorz</t>
  </si>
  <si>
    <t>Le0n</t>
  </si>
  <si>
    <t>GHC</t>
  </si>
  <si>
    <t>G0V Housing Co-op</t>
  </si>
  <si>
    <t>https://g0v.hackmd.io/SdjXJQzdS2-XSel830vO5w</t>
  </si>
  <si>
    <t>https://g0v.hackmd.io/UkDDg__RQP237RL-5ltpxQ</t>
  </si>
  <si>
    <t>合作住宅、自地自建、地方創生</t>
  </si>
  <si>
    <t>g0v slack @Le0n</t>
  </si>
  <si>
    <t>== 截止 ==</t>
  </si>
  <si>
    <t>感謝這一次所有幫忙活動的職工、志工與贊助單位！！！！！！</t>
  </si>
  <si>
    <r>
      <rPr>
        <rFont val="arial,sans,sans-serif"/>
        <b/>
        <color rgb="FFFF9700"/>
        <sz val="17.0"/>
      </rPr>
      <t xml:space="preserve">公民科技園遊會攤位 🌟 闖關完成送獎品 🌟 
</t>
    </r>
    <r>
      <rPr>
        <rFont val="arial,sans,sans-serif"/>
        <b val="0"/>
        <color rgb="FFFF9700"/>
        <sz val="11.0"/>
      </rPr>
      <t>＊1攤=半張長桌+1張椅子（無插座）。可於攤位上擺放宣傳品、意見徵集、專案成果展示、公民科技專案推廣等。</t>
    </r>
  </si>
  <si>
    <t>擺攤時間</t>
  </si>
  <si>
    <t>攤位/專案名稱</t>
  </si>
  <si>
    <t>主題內容</t>
  </si>
  <si>
    <t>相關連結</t>
  </si>
  <si>
    <t>10:30
-
16:00</t>
  </si>
  <si>
    <t>請安排顧攤人員</t>
  </si>
  <si>
    <t>繁體中文AI開源實踐計畫</t>
  </si>
  <si>
    <t>計畫專案成果展示與交流</t>
  </si>
  <si>
    <t>FNF</t>
  </si>
  <si>
    <t>Collage 空間願景拼貼網頁操作體驗</t>
  </si>
  <si>
    <t>網頁工具操作體驗與回饋意見</t>
  </si>
  <si>
    <t>https://collage.collective.tw/#</t>
  </si>
  <si>
    <t>六種公民參與數位工具問卷</t>
  </si>
  <si>
    <r>
      <rPr/>
      <t>問卷填寫網址：</t>
    </r>
    <r>
      <rPr>
        <color rgb="FF1155CC"/>
        <u/>
      </rPr>
      <t>https://g0v.hackmd.io/@chewei/joinplus/https%3A%2F%2Fdocs.google.com%2Fforms%2Fd%2Fe%2F1FAIpQLSe-noavNs8g9HckRWhDocHjkEmURd5eCVG42_2tYKDmacFFPw%2Fviewform%3Fusp%3Dsf_link</t>
    </r>
  </si>
  <si>
    <t>14:30【8分鐘短講報名】
每個 present 8min，分享議題、專案、研究、技術皆可。</t>
  </si>
  <si>
    <t>順序</t>
  </si>
  <si>
    <t>發表時間（自填）</t>
  </si>
  <si>
    <t>發表者</t>
  </si>
  <si>
    <t>錄影以 CC-BY 釋出?</t>
  </si>
  <si>
    <t>主題</t>
  </si>
  <si>
    <t>三個關鍵字</t>
  </si>
  <si>
    <t>專案徵人</t>
  </si>
  <si>
    <t>Friedrich Naumann Foundation Global Innovation Hub
弗里德里希諾曼自由基金會最近在做什麼？</t>
  </si>
  <si>
    <t>https://drive.google.com/file/d/1jcAj2jZBAtgNkS6nOeImi-hBxQ3wKrOe/view?usp=sharing</t>
  </si>
  <si>
    <t>FNF做什麼？、之後會做什麼？、自由</t>
  </si>
  <si>
    <t>N</t>
  </si>
  <si>
    <t>資訊專案民公民!?--農業資訊的經驗</t>
  </si>
  <si>
    <t>https://docs.google.com/presentation/d/1B3FlK0CnA8LjpQ0FgcHHBKGsGTGpHRzufx3vDWNe_Yg/edit?usp=drive_link</t>
  </si>
  <si>
    <t xml:space="preserve">如何在 GPTs 之上進行開放協作 </t>
  </si>
  <si>
    <t>CC-BY 4.0</t>
  </si>
  <si>
    <t>https://g0v.hackmd.io/_3hTKrJ-Sc2WpiTRBbL8_w</t>
  </si>
  <si>
    <t>德國公民科技現況分享、數位公民素養願景與推動策略探索</t>
  </si>
  <si>
    <t>數位公民素養教育、德日公民科技經驗、公民科技基礎建設</t>
  </si>
  <si>
    <t>Security and privacy concerns with the widespread implementation of Meshtastic radio in Taiwan, how to mitigate them</t>
  </si>
  <si>
    <t>CC-BY-SA 4.0</t>
  </si>
  <si>
    <t>https://gamma.app/docs/Security-and-privacy-concerns-with-the-widespread-implementation--7w5vmnvj48z4aub</t>
  </si>
  <si>
    <t>本期開放5位8分鐘</t>
  </si>
  <si>
    <t>16:10【 present project】 規則：
每個 present 5min，可視 project 數量和剩餘時間調整</t>
  </si>
  <si>
    <t>人本交通行動 Humanity-Oriented Traffic Environment Action</t>
  </si>
  <si>
    <t>道路改造、路徑創造、行人自救</t>
  </si>
  <si>
    <r>
      <rPr/>
      <t xml:space="preserve">道路標線改造案例、民間已提出方案地點地圖 Road Reform Map
</t>
    </r>
    <r>
      <rPr>
        <color rgb="FF1155CC"/>
        <u/>
      </rPr>
      <t>https://g0v.hackmd.io/X8mWlCWIRkOfCIhTjp1oLA?view</t>
    </r>
    <r>
      <rPr/>
      <t xml:space="preserve">
好連街-連續型行人路徑繪製步驟 Continuous Pedestrian Pathway
</t>
    </r>
    <r>
      <rPr>
        <color rgb="FF1155CC"/>
        <u/>
      </rPr>
      <t>https://g0v.hackmd.io/ErnTx4HXSly3E0I9J0zOxQ</t>
    </r>
    <r>
      <rPr/>
      <t xml:space="preserve">
行人自救行動 Pedestrian Self-rescue Action
</t>
    </r>
    <r>
      <rPr>
        <color rgb="FF1155CC"/>
        <u/>
      </rPr>
      <t>https://photos.app.goo.gl/WBcFrxzvc1SiqvqN9</t>
    </r>
  </si>
  <si>
    <t>g0v slack #GIS @chewei</t>
  </si>
  <si>
    <t>https://docs.google.com/presentation/d/1HPSeCMzVo5jWDm7DYOiLmx6HHv5_lHj15sVe34x3aSw/edit?usp=sharing</t>
  </si>
  <si>
    <t>tofus</t>
  </si>
  <si>
    <t>https://g0v.hackmd.io/@chewei/joinplus/https%3A%2F%2Fdocs.google.com%2Fforms%2Fd%2Fe%2F1FAIpQLSe-noavNs8g9HckRWhDocHjkEmURd5eCVG42_2tYKDmacFFPw%2Fviewform%3Fusp%3Dsf_link</t>
  </si>
  <si>
    <t>Cofacts 真的假的 / Open165 內文設計討論</t>
  </si>
  <si>
    <t>拉人更輕鬆</t>
  </si>
  <si>
    <r>
      <rPr/>
      <t xml:space="preserve">改善 </t>
    </r>
    <r>
      <rPr>
        <color rgb="FF1155CC"/>
        <u/>
      </rPr>
      <t>g0v.tw</t>
    </r>
  </si>
  <si>
    <t>https://g0v.hackmd.io/s/BJaGHU5uR</t>
  </si>
  <si>
    <t>https://g0v.tw</t>
  </si>
  <si>
    <r>
      <rPr>
        <color rgb="FF1155CC"/>
        <u/>
      </rPr>
      <t>g0v.tw</t>
    </r>
    <r>
      <rPr/>
      <t xml:space="preserve"> 、基礎建設</t>
    </r>
  </si>
  <si>
    <t>沒有人要寫心得</t>
  </si>
  <si>
    <t>Ronny</t>
  </si>
  <si>
    <t>meshtastic bridge slack</t>
  </si>
  <si>
    <t>BSD</t>
  </si>
  <si>
    <t>https://g0v.hackmd.io/0bHi9giDQN66h0HGAVp9aw</t>
  </si>
  <si>
    <t>#civil_defense</t>
  </si>
  <si>
    <t>歡迎大家填寫影響力問卷</t>
  </si>
  <si>
    <t xml:space="preserve">開場場地 </t>
  </si>
  <si>
    <t>隔壁間</t>
  </si>
  <si>
    <t>投影幕</t>
  </si>
  <si>
    <t>講台</t>
  </si>
  <si>
    <t>公民科技專案與社群手冊 v2 review</t>
  </si>
  <si>
    <t>Open165 反詐筆記</t>
  </si>
  <si>
    <t>Cofacts 真的假的</t>
  </si>
  <si>
    <t>AgriPuzzle
農業</t>
  </si>
  <si>
    <t>基礎松/拉人更輕鬆</t>
  </si>
  <si>
    <t>導播台</t>
  </si>
  <si>
    <t>門
Door</t>
  </si>
  <si>
    <t>韌性松</t>
  </si>
  <si>
    <t>vTaiwan / 論證平台</t>
  </si>
  <si>
    <t>農科院</t>
  </si>
  <si>
    <t>Joinplus 政府招標資料分析</t>
  </si>
  <si>
    <t>Collage 空間願景拼貼工具</t>
  </si>
  <si>
    <t>Common Voice</t>
  </si>
  <si>
    <t>Window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</si>
</sst>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3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u/>
      <color rgb="FF0000FF"/>
    </font>
    <font>
      <sz val="9.0"/>
      <color rgb="FF008000"/>
      <name val="&quot;Google Sans Mono&quot;"/>
    </font>
    <font>
      <u/>
      <color rgb="FF0000FF"/>
    </font>
    <font>
      <color rgb="FF000000"/>
      <name val="Arial"/>
    </font>
    <font>
      <sz val="10.0"/>
    </font>
    <font>
      <color rgb="FF000000"/>
    </font>
    <font>
      <name val="Arial"/>
    </font>
    <font>
      <u/>
      <color rgb="FF0000FF"/>
      <name val="Arial"/>
    </font>
    <font>
      <u/>
      <color rgb="FF0000FF"/>
      <name val="Arial"/>
    </font>
    <font>
      <b/>
      <sz val="17.0"/>
      <color rgb="FFFF9700"/>
      <name val="Arial"/>
    </font>
    <font>
      <b/>
    </font>
    <font>
      <u/>
      <color rgb="FF0000FF"/>
    </font>
    <font>
      <color rgb="FF181A1B"/>
      <name val="Arial"/>
    </font>
    <font>
      <u/>
      <color rgb="FF0000FF"/>
    </font>
    <font>
      <sz val="12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6" fontId="9" numFmtId="0" xfId="0" applyAlignment="1" applyFill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5" fontId="16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4" fontId="17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1" fillId="4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2" numFmtId="20" xfId="0" applyAlignment="1" applyFont="1" applyNumberFormat="1">
      <alignment horizontal="center" readingOrder="0" shrinkToFit="0" vertical="center" wrapText="1"/>
    </xf>
    <xf borderId="0" fillId="3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20" numFmtId="0" xfId="0" applyAlignment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12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6" fontId="12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shrinkToFit="0" vertical="center" wrapText="1"/>
    </xf>
    <xf borderId="0" fillId="6" fontId="12" numFmtId="0" xfId="0" applyAlignment="1" applyFont="1">
      <alignment readingOrder="0" shrinkToFit="0" vertical="center" wrapText="1"/>
    </xf>
    <xf borderId="0" fillId="6" fontId="12" numFmtId="0" xfId="0" applyAlignment="1" applyFont="1">
      <alignment horizontal="left" readingOrder="0" shrinkToFit="0" vertical="center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2" fillId="0" fontId="22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shrinkToFit="0" wrapText="1"/>
    </xf>
    <xf borderId="3" fillId="0" fontId="2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4" fillId="0" fontId="22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shrinkToFit="0" wrapText="1"/>
    </xf>
    <xf borderId="4" fillId="0" fontId="22" numFmtId="0" xfId="0" applyAlignment="1" applyBorder="1" applyFont="1">
      <alignment shrinkToFit="0" wrapText="1"/>
    </xf>
    <xf borderId="0" fillId="0" fontId="22" numFmtId="0" xfId="0" applyAlignment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4" fillId="0" fontId="22" numFmtId="0" xfId="0" applyAlignment="1" applyBorder="1" applyFont="1">
      <alignment horizontal="center" shrinkToFit="0" vertical="center" wrapText="1"/>
    </xf>
    <xf borderId="5" fillId="0" fontId="22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shrinkToFit="0" wrapText="1"/>
    </xf>
    <xf borderId="0" fillId="0" fontId="22" numFmtId="0" xfId="0" applyAlignment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md.io/X8mWlCWIRkOfCIhTjp1oLA?view" TargetMode="External"/><Relationship Id="rId42" Type="http://schemas.openxmlformats.org/officeDocument/2006/relationships/hyperlink" Target="https://docs.google.com/presentation/d/1HPSeCMzVo5jWDm7DYOiLmx6HHv5_lHj15sVe34x3aSw/edit?usp=sharing" TargetMode="External"/><Relationship Id="rId41" Type="http://schemas.openxmlformats.org/officeDocument/2006/relationships/hyperlink" Target="https://g0v.hackmd.io/@Pno233SAS8G5UfL5OvSRmA/SkXZk8UdR/%2FrxuKtr99SJ-eyvvFUDwr9A" TargetMode="External"/><Relationship Id="rId44" Type="http://schemas.openxmlformats.org/officeDocument/2006/relationships/hyperlink" Target="https://g0v.hackmd.io/3GkM1QjnQwmatprMfsmSLg" TargetMode="External"/><Relationship Id="rId43" Type="http://schemas.openxmlformats.org/officeDocument/2006/relationships/hyperlink" Target="https://g0v.hackmd.io/@chewei/joinplus/https%3A%2F%2Fdocs.google.com%2Fforms%2Fd%2Fe%2F1FAIpQLSe-noavNs8g9HckRWhDocHjkEmURd5eCVG42_2tYKDmacFFPw%2Fviewform%3Fusp%3Dsf_link" TargetMode="External"/><Relationship Id="rId46" Type="http://schemas.openxmlformats.org/officeDocument/2006/relationships/hyperlink" Target="https://docs.google.com/presentation/d/1HuEinyZqkE5WF0HuVFXznfaeMyLzN24ixAwUNxhIkqA/edit" TargetMode="External"/><Relationship Id="rId45" Type="http://schemas.openxmlformats.org/officeDocument/2006/relationships/hyperlink" Target="https://cofacts.tw/hack" TargetMode="External"/><Relationship Id="rId1" Type="http://schemas.openxmlformats.org/officeDocument/2006/relationships/hyperlink" Target="https://ai-grant.tw/" TargetMode="External"/><Relationship Id="rId2" Type="http://schemas.openxmlformats.org/officeDocument/2006/relationships/hyperlink" Target="http://g0v.tw/" TargetMode="External"/><Relationship Id="rId3" Type="http://schemas.openxmlformats.org/officeDocument/2006/relationships/hyperlink" Target="http://g0v.tw/" TargetMode="External"/><Relationship Id="rId4" Type="http://schemas.openxmlformats.org/officeDocument/2006/relationships/hyperlink" Target="https://g0v.hackmd.io/s/BJaGHU5uR" TargetMode="External"/><Relationship Id="rId9" Type="http://schemas.openxmlformats.org/officeDocument/2006/relationships/hyperlink" Target="https://g0v.hackmd.io/3GkM1QjnQwmatprMfsmSLg" TargetMode="External"/><Relationship Id="rId48" Type="http://schemas.openxmlformats.org/officeDocument/2006/relationships/hyperlink" Target="http://g0v.tw/" TargetMode="External"/><Relationship Id="rId47" Type="http://schemas.openxmlformats.org/officeDocument/2006/relationships/hyperlink" Target="https://docs.google.com/presentation/d/1ivYoq6-urRHUYQw92Rm1Y2tIM4F98NTS1EMGXbcs6z4/edit" TargetMode="External"/><Relationship Id="rId49" Type="http://schemas.openxmlformats.org/officeDocument/2006/relationships/hyperlink" Target="https://g0v.hackmd.io/s/BJaGHU5uR" TargetMode="External"/><Relationship Id="rId5" Type="http://schemas.openxmlformats.org/officeDocument/2006/relationships/hyperlink" Target="https://docs.google.com/presentation/d/1EhV85QJGjojrn56yUAz7G-x8JQ17cxzI4GJLYnUXRsw/edit?usp=sharing" TargetMode="External"/><Relationship Id="rId6" Type="http://schemas.openxmlformats.org/officeDocument/2006/relationships/hyperlink" Target="https://g0v.hackmd.io/@Pno233SAS8G5UfL5OvSRmA/SkXZk8UdR/%2FrxuKtr99SJ-eyvvFUDwr9A" TargetMode="External"/><Relationship Id="rId7" Type="http://schemas.openxmlformats.org/officeDocument/2006/relationships/hyperlink" Target="https://docs.google.com/presentation/d/1HPSeCMzVo5jWDm7DYOiLmx6HHv5_lHj15sVe34x3aSw/edit?usp=sharing" TargetMode="External"/><Relationship Id="rId8" Type="http://schemas.openxmlformats.org/officeDocument/2006/relationships/hyperlink" Target="https://docs.google.com/presentation/d/1EnMFBHt-VRcHKJlW0_ItAaUAAdudZj2_cL4XkL0jH40/edit?usp=sharing" TargetMode="External"/><Relationship Id="rId31" Type="http://schemas.openxmlformats.org/officeDocument/2006/relationships/hyperlink" Target="https://g0v.hackmd.io/@chewei/joinplus/https%3A%2F%2Fdocs.google.com%2Fforms%2Fd%2Fe%2F1FAIpQLSe-noavNs8g9HckRWhDocHjkEmURd5eCVG42_2tYKDmacFFPw%2Fviewform%3Fusp%3Dsf_link" TargetMode="External"/><Relationship Id="rId30" Type="http://schemas.openxmlformats.org/officeDocument/2006/relationships/hyperlink" Target="https://collage.collective.tw/" TargetMode="External"/><Relationship Id="rId33" Type="http://schemas.openxmlformats.org/officeDocument/2006/relationships/hyperlink" Target="https://docs.google.com/presentation/d/1B3FlK0CnA8LjpQ0FgcHHBKGsGTGpHRzufx3vDWNe_Yg/edit?usp=drive_link" TargetMode="External"/><Relationship Id="rId32" Type="http://schemas.openxmlformats.org/officeDocument/2006/relationships/hyperlink" Target="https://drive.google.com/file/d/1jcAj2jZBAtgNkS6nOeImi-hBxQ3wKrOe/view?usp=sharing" TargetMode="External"/><Relationship Id="rId35" Type="http://schemas.openxmlformats.org/officeDocument/2006/relationships/hyperlink" Target="https://docs.google.com/document/d/1l_yb8OsB4fFW_vpgObUoZoPIJ1FY8CFuW2xdrRh0VGQ/edit" TargetMode="External"/><Relationship Id="rId34" Type="http://schemas.openxmlformats.org/officeDocument/2006/relationships/hyperlink" Target="https://g0v.hackmd.io/_3hTKrJ-Sc2WpiTRBbL8_w" TargetMode="External"/><Relationship Id="rId37" Type="http://schemas.openxmlformats.org/officeDocument/2006/relationships/hyperlink" Target="https://gamma.app/docs/Security-and-privacy-concerns-with-the-widespread-implementation--7w5vmnvj48z4aub" TargetMode="External"/><Relationship Id="rId36" Type="http://schemas.openxmlformats.org/officeDocument/2006/relationships/hyperlink" Target="https://docs.google.com/presentation/d/1WtpCfbQya2thSy-wmLkJE4WW3mosBewW7fQBGJbDiF8/edit?usp=sharing" TargetMode="External"/><Relationship Id="rId39" Type="http://schemas.openxmlformats.org/officeDocument/2006/relationships/hyperlink" Target="https://docs.google.com/presentation/d/1WtpCfbQya2thSy-wmLkJE4WW3mosBewW7fQBGJbDiF8/edit?usp=sharing" TargetMode="External"/><Relationship Id="rId38" Type="http://schemas.openxmlformats.org/officeDocument/2006/relationships/hyperlink" Target="https://docs.google.com/document/d/1l_yb8OsB4fFW_vpgObUoZoPIJ1FY8CFuW2xdrRh0VGQ/edit" TargetMode="External"/><Relationship Id="rId20" Type="http://schemas.openxmlformats.org/officeDocument/2006/relationships/hyperlink" Target="https://youtu.be/ziuJRl-FL40" TargetMode="External"/><Relationship Id="rId22" Type="http://schemas.openxmlformats.org/officeDocument/2006/relationships/hyperlink" Target="https://g0v.hackmd.io/@chewei/joinplus/https%3A%2F%2Fg0v.hackmd.io%2F%40chewei%2FHk7hOYwU3" TargetMode="External"/><Relationship Id="rId21" Type="http://schemas.openxmlformats.org/officeDocument/2006/relationships/hyperlink" Target="http://s.g0v.tw/resi" TargetMode="External"/><Relationship Id="rId24" Type="http://schemas.openxmlformats.org/officeDocument/2006/relationships/hyperlink" Target="https://cofacts.tw/hack" TargetMode="External"/><Relationship Id="rId23" Type="http://schemas.openxmlformats.org/officeDocument/2006/relationships/hyperlink" Target="https://docs.google.com/presentation/d/1hpgPPSbAfsYKMCDbYDZa0iwJHZA0DWYe339ft42Xf48/edit" TargetMode="External"/><Relationship Id="rId26" Type="http://schemas.openxmlformats.org/officeDocument/2006/relationships/hyperlink" Target="https://docs.google.com/presentation/d/1ivYoq6-urRHUYQw92Rm1Y2tIM4F98NTS1EMGXbcs6z4/edit" TargetMode="External"/><Relationship Id="rId25" Type="http://schemas.openxmlformats.org/officeDocument/2006/relationships/hyperlink" Target="https://docs.google.com/presentation/d/1HuEinyZqkE5WF0HuVFXznfaeMyLzN24ixAwUNxhIkqA/edit" TargetMode="External"/><Relationship Id="rId28" Type="http://schemas.openxmlformats.org/officeDocument/2006/relationships/hyperlink" Target="https://g0v.hackmd.io/UkDDg__RQP237RL-5ltpxQ" TargetMode="External"/><Relationship Id="rId27" Type="http://schemas.openxmlformats.org/officeDocument/2006/relationships/hyperlink" Target="https://g0v.hackmd.io/SdjXJQzdS2-XSel830vO5w" TargetMode="External"/><Relationship Id="rId29" Type="http://schemas.openxmlformats.org/officeDocument/2006/relationships/hyperlink" Target="https://ai-grant.tw/" TargetMode="External"/><Relationship Id="rId51" Type="http://schemas.openxmlformats.org/officeDocument/2006/relationships/hyperlink" Target="http://g0v.tw/" TargetMode="External"/><Relationship Id="rId50" Type="http://schemas.openxmlformats.org/officeDocument/2006/relationships/hyperlink" Target="https://g0v.tw/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g0v.hackmd.io/0bHi9giDQN66h0HGAVp9aw" TargetMode="External"/><Relationship Id="rId11" Type="http://schemas.openxmlformats.org/officeDocument/2006/relationships/hyperlink" Target="https://docs.google.com/document/d/1l_yb8OsB4fFW_vpgObUoZoPIJ1FY8CFuW2xdrRh0VGQ/edit" TargetMode="External"/><Relationship Id="rId10" Type="http://schemas.openxmlformats.org/officeDocument/2006/relationships/hyperlink" Target="https://www.figma.com/design/wij5K5OZtDm6q82roiuNDT/%E7%B5%A6%E8%A1%8C%E5%8B%95%E8%80%85%E7%9A%84%E7%B0%A1%E6%98%93%E7%89%88-Figma-%E6%95%99%E5%AD%B8?node-id=1-4&amp;t=bygnJLI5DTZwCFeV-1" TargetMode="External"/><Relationship Id="rId13" Type="http://schemas.openxmlformats.org/officeDocument/2006/relationships/hyperlink" Target="https://docs.google.com/document/d/1XvwPzErp951BAQLKv7A5yO0sB5XZhnrb1ucWWroQ9YQ/edit" TargetMode="External"/><Relationship Id="rId12" Type="http://schemas.openxmlformats.org/officeDocument/2006/relationships/hyperlink" Target="https://docs.google.com/presentation/d/1WtpCfbQya2thSy-wmLkJE4WW3mosBewW7fQBGJbDiF8/edit?usp=sharing" TargetMode="External"/><Relationship Id="rId15" Type="http://schemas.openxmlformats.org/officeDocument/2006/relationships/hyperlink" Target="https://hackmd.io/team/moztw?nav=search&amp;q=common" TargetMode="External"/><Relationship Id="rId14" Type="http://schemas.openxmlformats.org/officeDocument/2006/relationships/hyperlink" Target="https://docs.google.com/presentation/d/141Yyrh36PxddrLFsnu3lUPf-Et57njVy/edit?usp=drive_link&amp;ouid=108067934524761499772&amp;rtpof=true&amp;sd=true" TargetMode="External"/><Relationship Id="rId17" Type="http://schemas.openxmlformats.org/officeDocument/2006/relationships/hyperlink" Target="https://hackmd.io/@i6x1MuXFR0q_Reh6_uOQDw/S16eR4nnR" TargetMode="External"/><Relationship Id="rId16" Type="http://schemas.openxmlformats.org/officeDocument/2006/relationships/hyperlink" Target="https://hackmd.io/@moztw/cv-at-g0v-63/edit" TargetMode="External"/><Relationship Id="rId19" Type="http://schemas.openxmlformats.org/officeDocument/2006/relationships/hyperlink" Target="https://youtu.be/ziuJRl-FL40" TargetMode="External"/><Relationship Id="rId18" Type="http://schemas.openxmlformats.org/officeDocument/2006/relationships/hyperlink" Target="https://youtu.be/ziuJRl-FL4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9.75"/>
    <col customWidth="1" min="6" max="6" width="6.13"/>
    <col customWidth="1" min="7" max="7" width="12.25"/>
    <col customWidth="1" min="8" max="8" width="28.13"/>
    <col customWidth="1" min="9" max="9" width="12.0"/>
    <col customWidth="1" min="10" max="10" width="23.25"/>
    <col customWidth="1" min="11" max="11" width="28.38"/>
    <col customWidth="1" min="12" max="12" width="17.5"/>
    <col customWidth="1" min="13" max="13" width="21.0"/>
    <col customWidth="1" min="14" max="15" width="22.5"/>
    <col customWidth="1" min="16" max="16" width="15.5"/>
    <col customWidth="1" min="17" max="18" width="18.13"/>
  </cols>
  <sheetData>
    <row r="1" ht="23.25" hidden="1" customHeight="1">
      <c r="A1" s="1"/>
      <c r="O1" s="1"/>
      <c r="P1" s="2"/>
      <c r="Q1" s="2"/>
      <c r="R1" s="2"/>
    </row>
    <row r="2" ht="15.0" customHeight="1">
      <c r="A2" s="3"/>
      <c r="B2" s="3" t="s">
        <v>0</v>
      </c>
      <c r="C2" s="4" t="s">
        <v>1</v>
      </c>
      <c r="D2" s="3" t="s">
        <v>2</v>
      </c>
      <c r="E2" s="3" t="s">
        <v>3</v>
      </c>
      <c r="F2" s="5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6" t="s">
        <v>15</v>
      </c>
      <c r="R2" s="3" t="s">
        <v>16</v>
      </c>
    </row>
    <row r="3" ht="15.0" customHeight="1">
      <c r="A3" s="7" t="s">
        <v>17</v>
      </c>
      <c r="R3" s="7"/>
    </row>
    <row r="4" ht="15.0" customHeight="1">
      <c r="A4" s="8" t="s">
        <v>18</v>
      </c>
      <c r="O4" s="8"/>
      <c r="P4" s="8"/>
      <c r="Q4" s="8"/>
      <c r="R4" s="9"/>
    </row>
    <row r="5" ht="22.5" customHeight="1">
      <c r="A5" s="10">
        <v>1.0</v>
      </c>
      <c r="B5" s="11">
        <v>0.4027777777777778</v>
      </c>
      <c r="C5" s="12"/>
      <c r="D5" s="13" t="s">
        <v>19</v>
      </c>
      <c r="E5" s="13" t="s">
        <v>20</v>
      </c>
      <c r="F5" s="14" t="s">
        <v>21</v>
      </c>
      <c r="G5" s="13" t="s">
        <v>22</v>
      </c>
      <c r="H5" s="13" t="s">
        <v>23</v>
      </c>
      <c r="I5" s="13"/>
      <c r="J5" s="15" t="s">
        <v>24</v>
      </c>
      <c r="K5" s="13"/>
      <c r="L5" s="16" t="s">
        <v>25</v>
      </c>
      <c r="M5" s="10"/>
      <c r="N5" s="13"/>
      <c r="O5" s="13" t="s">
        <v>26</v>
      </c>
      <c r="P5" s="13"/>
      <c r="Q5" s="17"/>
      <c r="R5" s="18" t="str">
        <f t="shared" ref="R5:R7" si="1">"g0v tw hackath63n — 提案 — "&amp;G5&amp;" ／ "&amp;D5&amp;" — 公民科技園遊會黑客松"</f>
        <v>g0v tw hackath63n — 提案 — 繁體中文 AI 開源實踐計畫 ／ 揪松團 — 公民科技園遊會黑客松</v>
      </c>
    </row>
    <row r="6" ht="15.0" customHeight="1">
      <c r="A6" s="10">
        <v>2.0</v>
      </c>
      <c r="B6" s="11">
        <v>0.4048611111111111</v>
      </c>
      <c r="C6" s="12"/>
      <c r="D6" s="13" t="s">
        <v>27</v>
      </c>
      <c r="E6" s="13" t="s">
        <v>20</v>
      </c>
      <c r="F6" s="14" t="s">
        <v>25</v>
      </c>
      <c r="G6" s="19" t="s">
        <v>28</v>
      </c>
      <c r="H6" s="19" t="s">
        <v>29</v>
      </c>
      <c r="I6" s="13"/>
      <c r="J6" s="19" t="s">
        <v>30</v>
      </c>
      <c r="K6" s="13"/>
      <c r="L6" s="20"/>
      <c r="M6" s="13" t="s">
        <v>31</v>
      </c>
      <c r="N6" s="13" t="s">
        <v>32</v>
      </c>
      <c r="O6" s="13" t="s">
        <v>33</v>
      </c>
      <c r="P6" s="13"/>
      <c r="Q6" s="17"/>
      <c r="R6" s="18" t="str">
        <f t="shared" si="1"/>
        <v>g0v tw hackath63n — 提案 — g0v.tw 社群心得 ／ SeanGau — 公民科技園遊會黑客松</v>
      </c>
    </row>
    <row r="7" ht="15.0" customHeight="1">
      <c r="A7" s="10">
        <v>4.0</v>
      </c>
      <c r="B7" s="11">
        <v>0.40902777777777777</v>
      </c>
      <c r="C7" s="12"/>
      <c r="D7" s="13" t="s">
        <v>34</v>
      </c>
      <c r="E7" s="13" t="s">
        <v>20</v>
      </c>
      <c r="F7" s="14" t="s">
        <v>25</v>
      </c>
      <c r="G7" s="13" t="s">
        <v>35</v>
      </c>
      <c r="H7" s="13" t="s">
        <v>36</v>
      </c>
      <c r="I7" s="13" t="s">
        <v>37</v>
      </c>
      <c r="J7" s="17"/>
      <c r="K7" s="19" t="s">
        <v>38</v>
      </c>
      <c r="L7" s="16" t="s">
        <v>25</v>
      </c>
      <c r="M7" s="13" t="s">
        <v>39</v>
      </c>
      <c r="N7" s="13" t="s">
        <v>40</v>
      </c>
      <c r="O7" s="13" t="s">
        <v>41</v>
      </c>
      <c r="P7" s="17"/>
      <c r="Q7" s="17"/>
      <c r="R7" s="18" t="str">
        <f t="shared" si="1"/>
        <v>g0v tw hackath63n — 提案 — 論證: 
公共議題論述匯整平台 ／ T — 公民科技園遊會黑客松</v>
      </c>
    </row>
    <row r="8" ht="15.0" customHeight="1">
      <c r="A8" s="10">
        <v>5.0</v>
      </c>
      <c r="B8" s="11">
        <v>0.4111111111111111</v>
      </c>
      <c r="C8" s="12"/>
      <c r="D8" s="13" t="s">
        <v>42</v>
      </c>
      <c r="E8" s="13" t="s">
        <v>20</v>
      </c>
      <c r="F8" s="14" t="s">
        <v>25</v>
      </c>
      <c r="G8" s="13" t="s">
        <v>43</v>
      </c>
      <c r="H8" s="13" t="s">
        <v>44</v>
      </c>
      <c r="I8" s="21" t="s">
        <v>45</v>
      </c>
      <c r="J8" s="19" t="s">
        <v>46</v>
      </c>
      <c r="K8" s="19" t="s">
        <v>47</v>
      </c>
      <c r="L8" s="16" t="s">
        <v>25</v>
      </c>
      <c r="M8" s="13" t="s">
        <v>48</v>
      </c>
      <c r="N8" s="13" t="s">
        <v>49</v>
      </c>
      <c r="O8" s="13" t="s">
        <v>50</v>
      </c>
      <c r="P8" s="13"/>
      <c r="Q8" s="17"/>
      <c r="R8" s="22" t="s">
        <v>51</v>
      </c>
    </row>
    <row r="9" ht="15.0" customHeight="1">
      <c r="A9" s="10">
        <v>6.0</v>
      </c>
      <c r="B9" s="11">
        <v>0.4131944444444444</v>
      </c>
      <c r="C9" s="12"/>
      <c r="D9" s="13" t="s">
        <v>52</v>
      </c>
      <c r="E9" s="13" t="s">
        <v>20</v>
      </c>
      <c r="F9" s="14"/>
      <c r="G9" s="13" t="s">
        <v>53</v>
      </c>
      <c r="H9" s="13" t="s">
        <v>54</v>
      </c>
      <c r="I9" s="21" t="s">
        <v>45</v>
      </c>
      <c r="J9" s="13"/>
      <c r="K9" s="19" t="s">
        <v>55</v>
      </c>
      <c r="L9" s="23" t="s">
        <v>25</v>
      </c>
      <c r="M9" s="24" t="s">
        <v>56</v>
      </c>
      <c r="N9" s="13" t="s">
        <v>57</v>
      </c>
      <c r="O9" s="13" t="s">
        <v>58</v>
      </c>
      <c r="P9" s="13"/>
      <c r="Q9" s="17"/>
      <c r="R9" s="18" t="str">
        <f t="shared" ref="R9:R20" si="2">"g0v tw hackath63n — 提案 — "&amp;G9&amp;" ／ "&amp;D9&amp;" — 公民科技園遊會黑客松"</f>
        <v>g0v tw hackath63n — 提案 — AgriPuzzle ／ a0kman — 公民科技園遊會黑客松</v>
      </c>
    </row>
    <row r="10" ht="18.0" customHeight="1">
      <c r="A10" s="10">
        <v>7.0</v>
      </c>
      <c r="B10" s="11">
        <v>0.4152777777777778</v>
      </c>
      <c r="C10" s="12"/>
      <c r="D10" s="13" t="s">
        <v>59</v>
      </c>
      <c r="E10" s="13" t="s">
        <v>20</v>
      </c>
      <c r="F10" s="14" t="s">
        <v>25</v>
      </c>
      <c r="G10" s="13" t="s">
        <v>60</v>
      </c>
      <c r="H10" s="13" t="s">
        <v>61</v>
      </c>
      <c r="I10" s="13" t="s">
        <v>62</v>
      </c>
      <c r="J10" s="25" t="s">
        <v>63</v>
      </c>
      <c r="K10" s="19" t="s">
        <v>64</v>
      </c>
      <c r="L10" s="16" t="s">
        <v>25</v>
      </c>
      <c r="M10" s="10" t="s">
        <v>65</v>
      </c>
      <c r="N10" s="13" t="s">
        <v>66</v>
      </c>
      <c r="O10" s="13" t="s">
        <v>67</v>
      </c>
      <c r="P10" s="13"/>
      <c r="Q10" s="17"/>
      <c r="R10" s="18" t="str">
        <f t="shared" si="2"/>
        <v>g0v tw hackath63n — 提案 — #design ／ Tofus — 公民科技園遊會黑客松</v>
      </c>
    </row>
    <row r="11" ht="15.0" customHeight="1">
      <c r="A11" s="10">
        <v>8.0</v>
      </c>
      <c r="B11" s="11">
        <v>0.4173611111111111</v>
      </c>
      <c r="C11" s="12"/>
      <c r="D11" s="13" t="s">
        <v>68</v>
      </c>
      <c r="E11" s="13" t="s">
        <v>20</v>
      </c>
      <c r="F11" s="14" t="s">
        <v>25</v>
      </c>
      <c r="G11" s="13" t="s">
        <v>69</v>
      </c>
      <c r="H11" s="13" t="s">
        <v>70</v>
      </c>
      <c r="I11" s="13" t="s">
        <v>71</v>
      </c>
      <c r="J11" s="15" t="s">
        <v>72</v>
      </c>
      <c r="K11" s="15" t="s">
        <v>73</v>
      </c>
      <c r="L11" s="16" t="s">
        <v>25</v>
      </c>
      <c r="M11" s="13" t="s">
        <v>74</v>
      </c>
      <c r="N11" s="13" t="s">
        <v>75</v>
      </c>
      <c r="O11" s="13" t="s">
        <v>76</v>
      </c>
      <c r="P11" s="13"/>
      <c r="Q11" s="17"/>
      <c r="R11" s="18" t="str">
        <f t="shared" si="2"/>
        <v>g0v tw hackath63n — 提案 — g0v 公民科技專案與社群手冊 ／ Tiff — 公民科技園遊會黑客松</v>
      </c>
    </row>
    <row r="12" ht="15.0" customHeight="1">
      <c r="A12" s="10">
        <v>9.0</v>
      </c>
      <c r="B12" s="11">
        <v>0.41944444444444445</v>
      </c>
      <c r="C12" s="12"/>
      <c r="D12" s="13" t="s">
        <v>77</v>
      </c>
      <c r="E12" s="13" t="s">
        <v>20</v>
      </c>
      <c r="F12" s="14"/>
      <c r="G12" s="13" t="s">
        <v>78</v>
      </c>
      <c r="H12" s="13" t="s">
        <v>79</v>
      </c>
      <c r="I12" s="26" t="s">
        <v>80</v>
      </c>
      <c r="J12" s="19" t="s">
        <v>81</v>
      </c>
      <c r="K12" s="15" t="s">
        <v>82</v>
      </c>
      <c r="L12" s="16" t="s">
        <v>25</v>
      </c>
      <c r="M12" s="13" t="s">
        <v>83</v>
      </c>
      <c r="N12" s="13" t="s">
        <v>84</v>
      </c>
      <c r="O12" s="13" t="s">
        <v>85</v>
      </c>
      <c r="P12" s="13"/>
      <c r="Q12" s="17"/>
      <c r="R12" s="18" t="str">
        <f t="shared" si="2"/>
        <v>g0v tw hackath63n — 提案 — 歷史照片加值應用 ／ 水保署與農科院 — 公民科技園遊會黑客松</v>
      </c>
    </row>
    <row r="13" ht="15.0" customHeight="1">
      <c r="A13" s="10">
        <v>10.0</v>
      </c>
      <c r="B13" s="11">
        <v>0.4215277777777778</v>
      </c>
      <c r="C13" s="12"/>
      <c r="D13" s="13" t="s">
        <v>86</v>
      </c>
      <c r="E13" s="13" t="s">
        <v>20</v>
      </c>
      <c r="F13" s="14" t="s">
        <v>25</v>
      </c>
      <c r="G13" s="13" t="s">
        <v>87</v>
      </c>
      <c r="H13" s="13" t="s">
        <v>88</v>
      </c>
      <c r="I13" s="13" t="s">
        <v>37</v>
      </c>
      <c r="J13" s="19" t="s">
        <v>89</v>
      </c>
      <c r="K13" s="19" t="s">
        <v>90</v>
      </c>
      <c r="L13" s="16" t="s">
        <v>25</v>
      </c>
      <c r="M13" s="13" t="s">
        <v>91</v>
      </c>
      <c r="N13" s="13" t="s">
        <v>92</v>
      </c>
      <c r="O13" s="13" t="s">
        <v>93</v>
      </c>
      <c r="P13" s="13"/>
      <c r="Q13" s="17"/>
      <c r="R13" s="18" t="str">
        <f t="shared" si="2"/>
        <v>g0v tw hackath63n — 提案 — 繁體中文語料庫 / common voice ／ Irvin — 公民科技園遊會黑客松</v>
      </c>
    </row>
    <row r="14" ht="15.0" customHeight="1">
      <c r="A14" s="10">
        <v>11.0</v>
      </c>
      <c r="B14" s="11">
        <v>0.4236111111111111</v>
      </c>
      <c r="C14" s="12"/>
      <c r="D14" s="26" t="s">
        <v>94</v>
      </c>
      <c r="E14" s="13" t="s">
        <v>20</v>
      </c>
      <c r="F14" s="14"/>
      <c r="G14" s="13" t="s">
        <v>95</v>
      </c>
      <c r="H14" s="13" t="s">
        <v>96</v>
      </c>
      <c r="I14" s="13" t="s">
        <v>97</v>
      </c>
      <c r="J14" s="19" t="s">
        <v>98</v>
      </c>
      <c r="K14" s="19" t="s">
        <v>99</v>
      </c>
      <c r="L14" s="16" t="s">
        <v>25</v>
      </c>
      <c r="M14" s="13" t="s">
        <v>100</v>
      </c>
      <c r="N14" s="13" t="s">
        <v>101</v>
      </c>
      <c r="O14" s="13" t="s">
        <v>102</v>
      </c>
      <c r="P14" s="19" t="s">
        <v>99</v>
      </c>
      <c r="Q14" s="19" t="s">
        <v>99</v>
      </c>
      <c r="R14" s="18" t="str">
        <f t="shared" si="2"/>
        <v>g0v tw hackath63n — 提案 — Pedestrian Rights (Name TBD) 行人權利（名稱待定） ／ Caleb — 公民科技園遊會黑客松</v>
      </c>
    </row>
    <row r="15" ht="15.0" customHeight="1">
      <c r="A15" s="10">
        <v>12.0</v>
      </c>
      <c r="B15" s="11">
        <v>0.42569444444444443</v>
      </c>
      <c r="C15" s="12"/>
      <c r="D15" s="13" t="s">
        <v>103</v>
      </c>
      <c r="E15" s="13" t="s">
        <v>20</v>
      </c>
      <c r="F15" s="14" t="s">
        <v>25</v>
      </c>
      <c r="G15" s="13" t="s">
        <v>104</v>
      </c>
      <c r="H15" s="13" t="s">
        <v>105</v>
      </c>
      <c r="I15" s="12" t="s">
        <v>106</v>
      </c>
      <c r="J15" s="19" t="s">
        <v>107</v>
      </c>
      <c r="K15" s="13"/>
      <c r="L15" s="20"/>
      <c r="M15" s="13"/>
      <c r="N15" s="13"/>
      <c r="O15" s="13"/>
      <c r="P15" s="13"/>
      <c r="Q15" s="17"/>
      <c r="R15" s="18" t="str">
        <f t="shared" si="2"/>
        <v>g0v tw hackath63n — 提案 — 數位韌性松 ／ Paul — 公民科技園遊會黑客松</v>
      </c>
    </row>
    <row r="16" ht="15.0" customHeight="1">
      <c r="A16" s="10">
        <v>13.0</v>
      </c>
      <c r="B16" s="11">
        <v>0.42777777777777776</v>
      </c>
      <c r="C16" s="12"/>
      <c r="D16" s="13" t="s">
        <v>108</v>
      </c>
      <c r="E16" s="13" t="s">
        <v>20</v>
      </c>
      <c r="F16" s="14" t="s">
        <v>25</v>
      </c>
      <c r="G16" s="13" t="s">
        <v>109</v>
      </c>
      <c r="H16" s="13" t="s">
        <v>110</v>
      </c>
      <c r="I16" s="13" t="s">
        <v>111</v>
      </c>
      <c r="J16" s="15" t="s">
        <v>112</v>
      </c>
      <c r="K16" s="15" t="s">
        <v>113</v>
      </c>
      <c r="L16" s="20" t="s">
        <v>25</v>
      </c>
      <c r="M16" s="13" t="s">
        <v>114</v>
      </c>
      <c r="N16" s="13" t="s">
        <v>115</v>
      </c>
      <c r="O16" s="13" t="s">
        <v>116</v>
      </c>
      <c r="P16" s="13"/>
      <c r="Q16" s="17"/>
      <c r="R16" s="18" t="str">
        <f t="shared" si="2"/>
        <v>g0v tw hackath63n — 提案 — Joinplus ／ chewei — 公民科技園遊會黑客松</v>
      </c>
    </row>
    <row r="17" ht="15.0" customHeight="1">
      <c r="A17" s="10">
        <v>14.0</v>
      </c>
      <c r="B17" s="11">
        <v>0.42986111111111114</v>
      </c>
      <c r="C17" s="12"/>
      <c r="D17" s="27" t="s">
        <v>117</v>
      </c>
      <c r="E17" s="28" t="s">
        <v>20</v>
      </c>
      <c r="F17" s="29" t="s">
        <v>25</v>
      </c>
      <c r="G17" s="30" t="s">
        <v>118</v>
      </c>
      <c r="H17" s="27" t="s">
        <v>119</v>
      </c>
      <c r="I17" s="31" t="s">
        <v>120</v>
      </c>
      <c r="J17" s="32" t="s">
        <v>121</v>
      </c>
      <c r="K17" s="32" t="s">
        <v>122</v>
      </c>
      <c r="L17" s="33" t="s">
        <v>25</v>
      </c>
      <c r="M17" s="30" t="s">
        <v>123</v>
      </c>
      <c r="N17" s="30" t="s">
        <v>124</v>
      </c>
      <c r="O17" s="30" t="s">
        <v>125</v>
      </c>
      <c r="P17" s="13"/>
      <c r="Q17" s="17"/>
      <c r="R17" s="18" t="str">
        <f t="shared" si="2"/>
        <v>g0v tw hackath63n — 提案 — Cofacts 真的假的 &amp; Open165 反詐筆記 ／ MrOrz — 公民科技園遊會黑客松</v>
      </c>
    </row>
    <row r="18" ht="15.0" customHeight="1">
      <c r="A18" s="10">
        <v>15.0</v>
      </c>
      <c r="B18" s="11">
        <v>0.43194444444444446</v>
      </c>
      <c r="C18" s="12"/>
      <c r="D18" s="13" t="s">
        <v>126</v>
      </c>
      <c r="E18" s="13" t="s">
        <v>20</v>
      </c>
      <c r="F18" s="14"/>
      <c r="G18" s="13" t="s">
        <v>127</v>
      </c>
      <c r="H18" s="13" t="s">
        <v>128</v>
      </c>
      <c r="I18" s="34" t="s">
        <v>62</v>
      </c>
      <c r="J18" s="15" t="s">
        <v>129</v>
      </c>
      <c r="K18" s="15" t="s">
        <v>130</v>
      </c>
      <c r="L18" s="16" t="s">
        <v>25</v>
      </c>
      <c r="M18" s="13" t="s">
        <v>131</v>
      </c>
      <c r="N18" s="13" t="s">
        <v>32</v>
      </c>
      <c r="O18" s="13" t="s">
        <v>132</v>
      </c>
      <c r="P18" s="13"/>
      <c r="Q18" s="17"/>
      <c r="R18" s="18" t="str">
        <f t="shared" si="2"/>
        <v>g0v tw hackath63n — 提案 — GHC ／ Le0n — 公民科技園遊會黑客松</v>
      </c>
    </row>
    <row r="19" ht="15.0" customHeight="1">
      <c r="A19" s="13"/>
      <c r="B19" s="11"/>
      <c r="C19" s="12"/>
      <c r="D19" s="35" t="s">
        <v>133</v>
      </c>
      <c r="E19" s="13"/>
      <c r="F19" s="14"/>
      <c r="G19" s="13" t="s">
        <v>134</v>
      </c>
      <c r="J19" s="13"/>
      <c r="K19" s="13"/>
      <c r="L19" s="20"/>
      <c r="M19" s="13"/>
      <c r="N19" s="13"/>
      <c r="O19" s="13"/>
      <c r="P19" s="13"/>
      <c r="Q19" s="17"/>
      <c r="R19" s="18" t="str">
        <f t="shared" si="2"/>
        <v>g0v tw hackath63n — 提案 — 感謝這一次所有幫忙活動的職工、志工與贊助單位！！！！！！ ／ == 截止 == — 公民科技園遊會黑客松</v>
      </c>
    </row>
    <row r="20" ht="15.0" customHeight="1">
      <c r="A20" s="13"/>
      <c r="B20" s="11"/>
      <c r="C20" s="12"/>
      <c r="D20" s="13"/>
      <c r="E20" s="13"/>
      <c r="F20" s="14"/>
      <c r="G20" s="13"/>
      <c r="H20" s="13"/>
      <c r="I20" s="13"/>
      <c r="J20" s="13"/>
      <c r="K20" s="13"/>
      <c r="L20" s="20"/>
      <c r="M20" s="13"/>
      <c r="N20" s="13"/>
      <c r="O20" s="13"/>
      <c r="P20" s="13"/>
      <c r="Q20" s="17"/>
      <c r="R20" s="18" t="str">
        <f t="shared" si="2"/>
        <v>g0v tw hackath63n — 提案 —  ／  — 公民科技園遊會黑客松</v>
      </c>
    </row>
    <row r="21" ht="15.0" customHeight="1">
      <c r="A21" s="36" t="s">
        <v>135</v>
      </c>
      <c r="R21" s="17"/>
    </row>
    <row r="22" ht="24.0" customHeight="1">
      <c r="A22" s="13"/>
      <c r="B22" s="37" t="s">
        <v>136</v>
      </c>
      <c r="C22" s="37"/>
      <c r="D22" s="37" t="s">
        <v>137</v>
      </c>
      <c r="F22" s="14"/>
      <c r="G22" s="13"/>
      <c r="H22" s="3" t="s">
        <v>138</v>
      </c>
      <c r="I22" s="13"/>
      <c r="J22" s="3"/>
      <c r="K22" s="6" t="s">
        <v>139</v>
      </c>
      <c r="L22" s="20"/>
      <c r="M22" s="13"/>
      <c r="N22" s="13"/>
      <c r="O22" s="13"/>
      <c r="P22" s="13"/>
      <c r="Q22" s="17"/>
      <c r="R22" s="17"/>
    </row>
    <row r="23" ht="15.0" customHeight="1">
      <c r="A23" s="13">
        <v>1.0</v>
      </c>
      <c r="B23" s="12" t="s">
        <v>140</v>
      </c>
      <c r="C23" s="38" t="s">
        <v>141</v>
      </c>
      <c r="D23" s="12" t="s">
        <v>142</v>
      </c>
      <c r="F23" s="14"/>
      <c r="G23" s="13"/>
      <c r="H23" s="13" t="s">
        <v>143</v>
      </c>
      <c r="I23" s="13"/>
      <c r="J23" s="13"/>
      <c r="K23" s="19" t="s">
        <v>24</v>
      </c>
      <c r="L23" s="20"/>
      <c r="M23" s="13"/>
      <c r="N23" s="13"/>
      <c r="O23" s="13"/>
      <c r="P23" s="13"/>
      <c r="Q23" s="17"/>
      <c r="R23" s="17"/>
    </row>
    <row r="24" ht="15.0" customHeight="1">
      <c r="A24" s="13">
        <v>2.0</v>
      </c>
      <c r="D24" s="12" t="s">
        <v>144</v>
      </c>
      <c r="F24" s="14"/>
      <c r="G24" s="13"/>
      <c r="H24" s="13"/>
      <c r="I24" s="13"/>
      <c r="J24" s="13"/>
      <c r="K24" s="13"/>
      <c r="L24" s="20"/>
      <c r="M24" s="13"/>
      <c r="N24" s="13"/>
      <c r="O24" s="13"/>
      <c r="P24" s="13"/>
      <c r="Q24" s="17"/>
      <c r="R24" s="17"/>
    </row>
    <row r="25" ht="15.0" customHeight="1">
      <c r="A25" s="13">
        <v>3.0</v>
      </c>
      <c r="D25" s="12" t="s">
        <v>145</v>
      </c>
      <c r="F25" s="14"/>
      <c r="G25" s="13"/>
      <c r="H25" s="13" t="s">
        <v>146</v>
      </c>
      <c r="I25" s="13"/>
      <c r="J25" s="15" t="s">
        <v>147</v>
      </c>
      <c r="K25" s="39"/>
      <c r="L25" s="16" t="s">
        <v>25</v>
      </c>
      <c r="M25" s="13"/>
      <c r="N25" s="13"/>
      <c r="O25" s="13"/>
      <c r="P25" s="13"/>
      <c r="Q25" s="17"/>
      <c r="R25" s="17"/>
    </row>
    <row r="26" ht="15.0" customHeight="1">
      <c r="A26" s="13">
        <v>4.0</v>
      </c>
      <c r="D26" s="12" t="s">
        <v>109</v>
      </c>
      <c r="F26" s="14"/>
      <c r="G26" s="13"/>
      <c r="H26" s="13" t="s">
        <v>148</v>
      </c>
      <c r="I26" s="13"/>
      <c r="J26" s="40" t="s">
        <v>149</v>
      </c>
      <c r="K26" s="17"/>
      <c r="L26" s="20"/>
      <c r="M26" s="13"/>
      <c r="N26" s="13"/>
      <c r="O26" s="13"/>
      <c r="P26" s="13"/>
      <c r="Q26" s="17"/>
      <c r="R26" s="17"/>
    </row>
    <row r="27" ht="15.0" customHeight="1">
      <c r="A27" s="13">
        <v>5.0</v>
      </c>
      <c r="D27" s="12"/>
      <c r="F27" s="14"/>
      <c r="G27" s="13"/>
      <c r="H27" s="13"/>
      <c r="I27" s="13"/>
      <c r="J27" s="13"/>
      <c r="K27" s="13"/>
      <c r="L27" s="20"/>
      <c r="M27" s="13"/>
      <c r="N27" s="13"/>
      <c r="O27" s="13"/>
      <c r="P27" s="13"/>
      <c r="Q27" s="17"/>
      <c r="R27" s="17"/>
    </row>
    <row r="28" ht="15.0" customHeight="1">
      <c r="A28" s="13">
        <v>6.0</v>
      </c>
      <c r="D28" s="12"/>
      <c r="F28" s="14"/>
      <c r="G28" s="13"/>
      <c r="H28" s="13"/>
      <c r="I28" s="13"/>
      <c r="J28" s="13"/>
      <c r="K28" s="13"/>
      <c r="L28" s="20"/>
      <c r="M28" s="13"/>
      <c r="N28" s="13"/>
      <c r="O28" s="13"/>
      <c r="P28" s="13"/>
      <c r="Q28" s="17"/>
      <c r="R28" s="17"/>
    </row>
    <row r="29" ht="15.0" customHeight="1">
      <c r="A29" s="13"/>
      <c r="B29" s="11"/>
      <c r="C29" s="12"/>
      <c r="D29" s="17"/>
      <c r="E29" s="13"/>
      <c r="F29" s="14"/>
      <c r="G29" s="13"/>
      <c r="H29" s="13"/>
      <c r="I29" s="13"/>
      <c r="J29" s="13"/>
      <c r="K29" s="13"/>
      <c r="L29" s="20"/>
      <c r="M29" s="13"/>
      <c r="N29" s="13"/>
      <c r="O29" s="13"/>
      <c r="P29" s="13"/>
      <c r="Q29" s="17"/>
      <c r="R29" s="17"/>
    </row>
    <row r="30" ht="15.0" customHeight="1">
      <c r="A30" s="7" t="s">
        <v>150</v>
      </c>
      <c r="R30" s="41"/>
    </row>
    <row r="31" ht="15.0" customHeight="1">
      <c r="A31" s="6" t="s">
        <v>151</v>
      </c>
      <c r="B31" s="6" t="s">
        <v>152</v>
      </c>
      <c r="C31" s="3" t="s">
        <v>1</v>
      </c>
      <c r="D31" s="6" t="s">
        <v>153</v>
      </c>
      <c r="E31" s="3" t="s">
        <v>3</v>
      </c>
      <c r="F31" s="5" t="s">
        <v>154</v>
      </c>
      <c r="G31" s="3" t="s">
        <v>5</v>
      </c>
      <c r="H31" s="6" t="s">
        <v>155</v>
      </c>
      <c r="I31" s="3" t="s">
        <v>7</v>
      </c>
      <c r="J31" s="3" t="s">
        <v>8</v>
      </c>
      <c r="K31" s="6" t="s">
        <v>139</v>
      </c>
      <c r="L31" s="3" t="s">
        <v>10</v>
      </c>
      <c r="M31" s="6" t="s">
        <v>156</v>
      </c>
      <c r="N31" s="6" t="s">
        <v>157</v>
      </c>
      <c r="O31" s="3" t="s">
        <v>13</v>
      </c>
      <c r="P31" s="42"/>
      <c r="Q31" s="42"/>
      <c r="R31" s="18" t="str">
        <f t="shared" ref="R31:R37" si="3">"g0v tw hackath63n — 中場短講 — "&amp;G31&amp;" ／ "&amp;D31&amp;" — 公民科技園遊會黑客松"</f>
        <v>g0v tw hackath63n — 中場短講 — 專案名稱
Project Name ／ 發表者 — 公民科技園遊會黑客松</v>
      </c>
    </row>
    <row r="32" ht="15.0" customHeight="1">
      <c r="A32" s="13">
        <v>1.0</v>
      </c>
      <c r="B32" s="11">
        <v>0.6041666666666666</v>
      </c>
      <c r="C32" s="11"/>
      <c r="D32" s="24" t="s">
        <v>144</v>
      </c>
      <c r="E32" s="13" t="s">
        <v>20</v>
      </c>
      <c r="F32" s="14"/>
      <c r="G32" s="24" t="s">
        <v>144</v>
      </c>
      <c r="H32" s="13" t="s">
        <v>158</v>
      </c>
      <c r="I32" s="13" t="s">
        <v>71</v>
      </c>
      <c r="J32" s="17"/>
      <c r="K32" s="15" t="s">
        <v>159</v>
      </c>
      <c r="L32" s="13" t="s">
        <v>25</v>
      </c>
      <c r="M32" s="13" t="s">
        <v>160</v>
      </c>
      <c r="N32" s="17"/>
      <c r="O32" s="17"/>
      <c r="P32" s="13"/>
      <c r="Q32" s="17"/>
      <c r="R32" s="18" t="str">
        <f t="shared" si="3"/>
        <v>g0v tw hackath63n — 中場短講 — FNF ／ FNF — 公民科技園遊會黑客松</v>
      </c>
    </row>
    <row r="33" ht="15.0" customHeight="1">
      <c r="A33" s="43">
        <v>2.0</v>
      </c>
      <c r="B33" s="11">
        <v>0.6111111111111112</v>
      </c>
      <c r="C33" s="11"/>
      <c r="D33" s="13" t="s">
        <v>52</v>
      </c>
      <c r="E33" s="13" t="s">
        <v>20</v>
      </c>
      <c r="F33" s="14" t="s">
        <v>161</v>
      </c>
      <c r="G33" s="13"/>
      <c r="H33" s="13" t="s">
        <v>162</v>
      </c>
      <c r="I33" s="13"/>
      <c r="J33" s="44"/>
      <c r="K33" s="19" t="s">
        <v>163</v>
      </c>
      <c r="L33" s="13"/>
      <c r="M33" s="13"/>
      <c r="N33" s="13"/>
      <c r="O33" s="13"/>
      <c r="P33" s="13"/>
      <c r="Q33" s="17"/>
      <c r="R33" s="18" t="str">
        <f t="shared" si="3"/>
        <v>g0v tw hackath63n — 中場短講 —  ／ a0kman — 公民科技園遊會黑客松</v>
      </c>
    </row>
    <row r="34" ht="15.0" customHeight="1">
      <c r="A34" s="13">
        <v>3.0</v>
      </c>
      <c r="B34" s="11">
        <v>0.6180555555555556</v>
      </c>
      <c r="C34" s="45"/>
      <c r="D34" s="24" t="s">
        <v>59</v>
      </c>
      <c r="E34" s="13" t="s">
        <v>20</v>
      </c>
      <c r="F34" s="14" t="s">
        <v>25</v>
      </c>
      <c r="G34" s="13" t="s">
        <v>60</v>
      </c>
      <c r="H34" s="13" t="s">
        <v>164</v>
      </c>
      <c r="I34" s="34" t="s">
        <v>165</v>
      </c>
      <c r="J34" s="19" t="s">
        <v>166</v>
      </c>
      <c r="K34" s="13"/>
      <c r="L34" s="13"/>
      <c r="M34" s="13"/>
      <c r="N34" s="17"/>
      <c r="O34" s="17"/>
      <c r="P34" s="13"/>
      <c r="Q34" s="17"/>
      <c r="R34" s="18" t="str">
        <f t="shared" si="3"/>
        <v>g0v tw hackath63n — 中場短講 — #design ／ Tofus — 公民科技園遊會黑客松</v>
      </c>
    </row>
    <row r="35" ht="15.0" customHeight="1">
      <c r="A35" s="13">
        <v>4.0</v>
      </c>
      <c r="B35" s="46">
        <v>0.625</v>
      </c>
      <c r="C35" s="12"/>
      <c r="D35" s="13" t="s">
        <v>68</v>
      </c>
      <c r="E35" s="13" t="s">
        <v>20</v>
      </c>
      <c r="F35" s="47" t="s">
        <v>25</v>
      </c>
      <c r="G35" s="13" t="s">
        <v>69</v>
      </c>
      <c r="H35" s="13" t="s">
        <v>167</v>
      </c>
      <c r="I35" s="13" t="s">
        <v>71</v>
      </c>
      <c r="J35" s="15" t="s">
        <v>72</v>
      </c>
      <c r="K35" s="48" t="s">
        <v>73</v>
      </c>
      <c r="L35" s="13" t="s">
        <v>25</v>
      </c>
      <c r="M35" s="13" t="s">
        <v>168</v>
      </c>
      <c r="N35" s="13" t="s">
        <v>75</v>
      </c>
      <c r="O35" s="13" t="s">
        <v>76</v>
      </c>
      <c r="P35" s="26"/>
      <c r="Q35" s="49"/>
      <c r="R35" s="18" t="str">
        <f t="shared" si="3"/>
        <v>g0v tw hackath63n — 中場短講 — g0v 公民科技專案與社群手冊 ／ Tiff — 公民科技園遊會黑客松</v>
      </c>
    </row>
    <row r="36" ht="15.0" customHeight="1">
      <c r="A36" s="43">
        <v>5.0</v>
      </c>
      <c r="B36" s="46">
        <v>0.6319444444444444</v>
      </c>
      <c r="C36" s="12"/>
      <c r="D36" s="50" t="s">
        <v>103</v>
      </c>
      <c r="E36" s="50" t="s">
        <v>20</v>
      </c>
      <c r="F36" s="47" t="s">
        <v>25</v>
      </c>
      <c r="G36" s="50" t="s">
        <v>104</v>
      </c>
      <c r="H36" s="51" t="s">
        <v>169</v>
      </c>
      <c r="I36" s="50" t="s">
        <v>170</v>
      </c>
      <c r="J36" s="26"/>
      <c r="K36" s="15" t="s">
        <v>171</v>
      </c>
      <c r="L36" s="26"/>
      <c r="M36" s="26"/>
      <c r="N36" s="13"/>
      <c r="O36" s="13"/>
      <c r="P36" s="26"/>
      <c r="Q36" s="49"/>
      <c r="R36" s="18" t="str">
        <f t="shared" si="3"/>
        <v>g0v tw hackath63n — 中場短講 — 數位韌性松 ／ Paul — 公民科技園遊會黑客松</v>
      </c>
    </row>
    <row r="37" ht="15.0" customHeight="1">
      <c r="A37" s="17"/>
      <c r="B37" s="52"/>
      <c r="C37" s="45"/>
      <c r="D37" s="52"/>
      <c r="E37" s="52"/>
      <c r="F37" s="45"/>
      <c r="G37" s="13"/>
      <c r="H37" s="13"/>
      <c r="I37" s="17"/>
      <c r="J37" s="17"/>
      <c r="K37" s="17"/>
      <c r="L37" s="17"/>
      <c r="M37" s="17"/>
      <c r="N37" s="17"/>
      <c r="O37" s="17"/>
      <c r="P37" s="13"/>
      <c r="Q37" s="17"/>
      <c r="R37" s="18" t="str">
        <f t="shared" si="3"/>
        <v>g0v tw hackath63n — 中場短講 —  ／  — 公民科技園遊會黑客松</v>
      </c>
    </row>
    <row r="38" ht="15.0" customHeight="1">
      <c r="A38" s="53"/>
      <c r="B38" s="54" t="s">
        <v>172</v>
      </c>
      <c r="C38" s="55"/>
      <c r="D38" s="56" t="s">
        <v>133</v>
      </c>
      <c r="E38" s="54"/>
      <c r="F38" s="55"/>
      <c r="G38" s="57"/>
      <c r="H38" s="57"/>
      <c r="I38" s="53"/>
      <c r="J38" s="53"/>
      <c r="K38" s="53"/>
      <c r="L38" s="53"/>
      <c r="M38" s="53"/>
      <c r="N38" s="53"/>
      <c r="O38" s="53"/>
      <c r="P38" s="57"/>
      <c r="Q38" s="53"/>
      <c r="R38" s="53"/>
    </row>
    <row r="39" ht="15.0" customHeight="1">
      <c r="A39" s="53"/>
      <c r="B39" s="58"/>
      <c r="C39" s="55"/>
      <c r="D39" s="59"/>
      <c r="E39" s="59"/>
      <c r="F39" s="55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 ht="15.0" customHeight="1">
      <c r="A40" s="17"/>
      <c r="B40" s="45"/>
      <c r="C40" s="45"/>
      <c r="D40" s="17"/>
      <c r="E40" s="17"/>
      <c r="F40" s="60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ht="15.0" customHeight="1">
      <c r="A41" s="17"/>
      <c r="B41" s="45"/>
      <c r="C41" s="45"/>
      <c r="D41" s="17"/>
      <c r="E41" s="17"/>
      <c r="F41" s="60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ht="15.0" customHeight="1">
      <c r="A42" s="17"/>
      <c r="B42" s="45"/>
      <c r="C42" s="45"/>
      <c r="D42" s="17"/>
      <c r="E42" s="17"/>
      <c r="F42" s="60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ht="15.0" customHeight="1">
      <c r="A43" s="17"/>
      <c r="B43" s="45"/>
      <c r="C43" s="45"/>
      <c r="D43" s="17"/>
      <c r="E43" s="17"/>
      <c r="F43" s="60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ht="15.0" customHeight="1">
      <c r="A44" s="7" t="s">
        <v>173</v>
      </c>
      <c r="R44" s="41"/>
    </row>
    <row r="45" ht="15.0" customHeight="1">
      <c r="A45" s="61">
        <v>1.0</v>
      </c>
      <c r="B45" s="62">
        <v>0.6736111111111112</v>
      </c>
      <c r="C45" s="12"/>
      <c r="D45" s="13" t="s">
        <v>68</v>
      </c>
      <c r="E45" s="13" t="s">
        <v>20</v>
      </c>
      <c r="F45" s="14" t="s">
        <v>25</v>
      </c>
      <c r="G45" s="13" t="s">
        <v>69</v>
      </c>
      <c r="H45" s="13" t="s">
        <v>70</v>
      </c>
      <c r="I45" s="13" t="s">
        <v>71</v>
      </c>
      <c r="J45" s="15" t="s">
        <v>72</v>
      </c>
      <c r="K45" s="15" t="s">
        <v>73</v>
      </c>
      <c r="L45" s="16" t="s">
        <v>25</v>
      </c>
      <c r="M45" s="13" t="s">
        <v>74</v>
      </c>
      <c r="N45" s="13" t="s">
        <v>75</v>
      </c>
      <c r="O45" s="13" t="s">
        <v>76</v>
      </c>
      <c r="P45" s="13"/>
      <c r="Q45" s="13"/>
      <c r="R45" s="18" t="str">
        <f>"g0v tw hackath63n — 成果報告 — "&amp;G45&amp;" ／ "&amp;D45&amp;" — 公民科技園遊會黑客松"</f>
        <v>g0v tw hackath63n — 成果報告 — g0v 公民科技專案與社群手冊 ／ Tiff — 公民科技園遊會黑客松</v>
      </c>
    </row>
    <row r="46" ht="15.0" customHeight="1">
      <c r="A46" s="61">
        <v>2.0</v>
      </c>
      <c r="B46" s="11">
        <v>0.6770833333333334</v>
      </c>
      <c r="C46" s="12"/>
      <c r="E46" s="13"/>
      <c r="F46" s="14"/>
      <c r="G46" s="13"/>
      <c r="H46" s="13"/>
      <c r="I46" s="13"/>
      <c r="J46" s="13"/>
      <c r="K46" s="13"/>
      <c r="L46" s="12"/>
      <c r="M46" s="13"/>
      <c r="N46" s="13"/>
      <c r="O46" s="13"/>
      <c r="P46" s="13"/>
      <c r="Q46" s="17"/>
      <c r="R46" s="18" t="str">
        <f>"g0v tw hackath63n — 成果報告 — "&amp;G46&amp;" ／ "&amp;D48&amp;" — 公民科技園遊會黑客松"</f>
        <v>g0v tw hackath63n — 成果報告 —  ／ chewei — 公民科技園遊會黑客松</v>
      </c>
    </row>
    <row r="47" ht="15.0" customHeight="1">
      <c r="A47" s="61">
        <v>3.0</v>
      </c>
      <c r="B47" s="11">
        <v>0.6805555555555556</v>
      </c>
      <c r="C47" s="12"/>
      <c r="D47" s="13"/>
      <c r="E47" s="13"/>
      <c r="F47" s="14"/>
      <c r="G47" s="13"/>
      <c r="H47" s="13"/>
      <c r="I47" s="13"/>
      <c r="J47" s="13"/>
      <c r="K47" s="63"/>
      <c r="L47" s="13"/>
      <c r="M47" s="13"/>
      <c r="N47" s="13"/>
      <c r="O47" s="13"/>
      <c r="P47" s="13"/>
      <c r="Q47" s="17"/>
      <c r="R47" s="18" t="str">
        <f t="shared" ref="R47:R57" si="4">"g0v tw hackath63n — 成果報告 — "&amp;G47&amp;" ／ "&amp;D47&amp;" — 公民科技園遊會黑客松"</f>
        <v>g0v tw hackath63n — 成果報告 —  ／  — 公民科技園遊會黑客松</v>
      </c>
    </row>
    <row r="48" ht="15.0" customHeight="1">
      <c r="A48" s="61">
        <v>4.0</v>
      </c>
      <c r="B48" s="11">
        <v>0.6840277777777778</v>
      </c>
      <c r="C48" s="12"/>
      <c r="D48" s="13" t="s">
        <v>108</v>
      </c>
      <c r="E48" s="13" t="s">
        <v>20</v>
      </c>
      <c r="F48" s="14" t="s">
        <v>25</v>
      </c>
      <c r="G48" s="13" t="s">
        <v>174</v>
      </c>
      <c r="H48" s="13" t="s">
        <v>175</v>
      </c>
      <c r="I48" s="17"/>
      <c r="J48" s="40" t="s">
        <v>176</v>
      </c>
      <c r="K48" s="44"/>
      <c r="L48" s="13" t="s">
        <v>25</v>
      </c>
      <c r="M48" s="13"/>
      <c r="N48" s="13"/>
      <c r="O48" s="27" t="s">
        <v>177</v>
      </c>
      <c r="P48" s="13"/>
      <c r="Q48" s="13"/>
      <c r="R48" s="18" t="str">
        <f t="shared" si="4"/>
        <v>g0v tw hackath63n — 成果報告 — 人本交通行動 Humanity-Oriented Traffic Environment Action ／ chewei — 公民科技園遊會黑客松</v>
      </c>
    </row>
    <row r="49" ht="15.0" customHeight="1">
      <c r="A49" s="61">
        <v>5.0</v>
      </c>
      <c r="B49" s="11">
        <v>0.6875</v>
      </c>
      <c r="C49" s="12"/>
      <c r="D49" s="13" t="s">
        <v>42</v>
      </c>
      <c r="E49" s="13" t="s">
        <v>20</v>
      </c>
      <c r="F49" s="14" t="s">
        <v>25</v>
      </c>
      <c r="G49" s="13" t="s">
        <v>43</v>
      </c>
      <c r="H49" s="13" t="s">
        <v>44</v>
      </c>
      <c r="I49" s="21" t="s">
        <v>45</v>
      </c>
      <c r="J49" s="19" t="s">
        <v>46</v>
      </c>
      <c r="K49" s="15" t="s">
        <v>178</v>
      </c>
      <c r="L49" s="13" t="s">
        <v>25</v>
      </c>
      <c r="M49" s="28" t="s">
        <v>48</v>
      </c>
      <c r="N49" s="64" t="s">
        <v>49</v>
      </c>
      <c r="O49" s="64" t="s">
        <v>50</v>
      </c>
      <c r="P49" s="13"/>
      <c r="Q49" s="13"/>
      <c r="R49" s="18" t="str">
        <f t="shared" si="4"/>
        <v>g0v tw hackath63n — 成果報告 — vtaiwan  ／ Peter — 公民科技園遊會黑客松</v>
      </c>
    </row>
    <row r="50" ht="15.0" customHeight="1">
      <c r="A50" s="61">
        <v>6.0</v>
      </c>
      <c r="B50" s="11">
        <v>0.6909722222222222</v>
      </c>
      <c r="C50" s="12"/>
      <c r="D50" s="13" t="s">
        <v>179</v>
      </c>
      <c r="E50" s="13" t="s">
        <v>20</v>
      </c>
      <c r="F50" s="14"/>
      <c r="G50" s="13" t="s">
        <v>60</v>
      </c>
      <c r="H50" s="19" t="s">
        <v>180</v>
      </c>
      <c r="I50" s="13" t="s">
        <v>62</v>
      </c>
      <c r="J50" s="19" t="s">
        <v>63</v>
      </c>
      <c r="K50" s="13"/>
      <c r="L50" s="13"/>
      <c r="M50" s="13"/>
      <c r="N50" s="13"/>
      <c r="O50" s="13"/>
      <c r="P50" s="13"/>
      <c r="Q50" s="17"/>
      <c r="R50" s="18" t="str">
        <f t="shared" si="4"/>
        <v>g0v tw hackath63n — 成果報告 — #design ／ tofus — 公民科技園遊會黑客松</v>
      </c>
    </row>
    <row r="51" ht="15.0" customHeight="1">
      <c r="A51" s="61">
        <v>7.0</v>
      </c>
      <c r="B51" s="11">
        <v>0.6944444444444444</v>
      </c>
      <c r="C51" s="12"/>
      <c r="D51" s="27" t="s">
        <v>117</v>
      </c>
      <c r="E51" s="28" t="s">
        <v>20</v>
      </c>
      <c r="F51" s="29" t="s">
        <v>25</v>
      </c>
      <c r="G51" s="30" t="s">
        <v>118</v>
      </c>
      <c r="H51" s="27" t="s">
        <v>181</v>
      </c>
      <c r="I51" s="31" t="s">
        <v>120</v>
      </c>
      <c r="J51" s="32" t="s">
        <v>121</v>
      </c>
      <c r="K51" s="32" t="s">
        <v>122</v>
      </c>
      <c r="L51" s="33" t="s">
        <v>25</v>
      </c>
      <c r="M51" s="30" t="s">
        <v>123</v>
      </c>
      <c r="N51" s="30" t="s">
        <v>124</v>
      </c>
      <c r="O51" s="30" t="s">
        <v>125</v>
      </c>
      <c r="P51" s="13"/>
      <c r="Q51" s="17"/>
      <c r="R51" s="18" t="str">
        <f t="shared" si="4"/>
        <v>g0v tw hackath63n — 成果報告 — Cofacts 真的假的 &amp; Open165 反詐筆記 ／ MrOrz — 公民科技園遊會黑客松</v>
      </c>
    </row>
    <row r="52" ht="15.0" customHeight="1">
      <c r="A52" s="61">
        <v>8.0</v>
      </c>
      <c r="B52" s="11">
        <v>0.6979166666666666</v>
      </c>
      <c r="C52" s="12"/>
      <c r="D52" s="13" t="s">
        <v>27</v>
      </c>
      <c r="E52" s="13" t="s">
        <v>20</v>
      </c>
      <c r="F52" s="14" t="s">
        <v>25</v>
      </c>
      <c r="G52" s="13" t="s">
        <v>182</v>
      </c>
      <c r="H52" s="19" t="s">
        <v>183</v>
      </c>
      <c r="I52" s="13"/>
      <c r="J52" s="15" t="s">
        <v>184</v>
      </c>
      <c r="K52" s="19" t="s">
        <v>185</v>
      </c>
      <c r="L52" s="13"/>
      <c r="M52" s="19" t="s">
        <v>186</v>
      </c>
      <c r="N52" s="13" t="s">
        <v>187</v>
      </c>
      <c r="O52" s="13"/>
      <c r="P52" s="13"/>
      <c r="Q52" s="17"/>
      <c r="R52" s="18" t="str">
        <f t="shared" si="4"/>
        <v>g0v tw hackath63n — 成果報告 — 拉人更輕鬆 ／ SeanGau — 公民科技園遊會黑客松</v>
      </c>
    </row>
    <row r="53" ht="15.0" customHeight="1">
      <c r="A53" s="61">
        <v>9.0</v>
      </c>
      <c r="B53" s="11">
        <v>0.7013888888888888</v>
      </c>
      <c r="C53" s="12"/>
      <c r="D53" s="13" t="s">
        <v>188</v>
      </c>
      <c r="E53" s="13" t="s">
        <v>20</v>
      </c>
      <c r="F53" s="14" t="s">
        <v>25</v>
      </c>
      <c r="G53" s="13" t="s">
        <v>189</v>
      </c>
      <c r="H53" s="13" t="s">
        <v>189</v>
      </c>
      <c r="I53" s="13" t="s">
        <v>190</v>
      </c>
      <c r="J53" s="15" t="s">
        <v>191</v>
      </c>
      <c r="K53" s="13"/>
      <c r="L53" s="24"/>
      <c r="M53" s="24"/>
      <c r="N53" s="13"/>
      <c r="O53" s="13" t="s">
        <v>192</v>
      </c>
      <c r="P53" s="13"/>
      <c r="Q53" s="17"/>
      <c r="R53" s="18" t="str">
        <f t="shared" si="4"/>
        <v>g0v tw hackath63n — 成果報告 — meshtastic bridge slack ／ Ronny — 公民科技園遊會黑客松</v>
      </c>
    </row>
    <row r="54" ht="15.0" customHeight="1">
      <c r="A54" s="61">
        <v>10.0</v>
      </c>
      <c r="B54" s="11">
        <v>0.7048611111111112</v>
      </c>
      <c r="C54" s="12"/>
      <c r="D54" s="13"/>
      <c r="E54" s="13"/>
      <c r="F54" s="14"/>
      <c r="G54" s="13"/>
      <c r="H54" s="13"/>
      <c r="I54" s="13"/>
      <c r="J54" s="13"/>
      <c r="K54" s="13"/>
      <c r="L54" s="12"/>
      <c r="M54" s="13"/>
      <c r="N54" s="13"/>
      <c r="O54" s="13"/>
      <c r="P54" s="17"/>
      <c r="Q54" s="17"/>
      <c r="R54" s="18" t="str">
        <f t="shared" si="4"/>
        <v>g0v tw hackath63n — 成果報告 —  ／  — 公民科技園遊會黑客松</v>
      </c>
    </row>
    <row r="55" ht="15.0" customHeight="1">
      <c r="A55" s="61">
        <v>11.0</v>
      </c>
      <c r="B55" s="11">
        <v>0.7083333333333334</v>
      </c>
      <c r="C55" s="12"/>
      <c r="D55" s="13"/>
      <c r="E55" s="13" t="s">
        <v>20</v>
      </c>
      <c r="F55" s="14"/>
      <c r="G55" s="63"/>
      <c r="H55" s="63"/>
      <c r="I55" s="65"/>
      <c r="J55" s="44"/>
      <c r="K55" s="13"/>
      <c r="L55" s="13"/>
      <c r="M55" s="13"/>
      <c r="N55" s="17"/>
      <c r="O55" s="17"/>
      <c r="P55" s="13"/>
      <c r="Q55" s="13"/>
      <c r="R55" s="18" t="str">
        <f t="shared" si="4"/>
        <v>g0v tw hackath63n — 成果報告 —  ／  — 公民科技園遊會黑客松</v>
      </c>
    </row>
    <row r="56" ht="15.0" customHeight="1">
      <c r="A56" s="61">
        <v>12.0</v>
      </c>
      <c r="B56" s="11">
        <v>0.7118055555555556</v>
      </c>
      <c r="C56" s="12"/>
      <c r="D56" s="13"/>
      <c r="E56" s="13"/>
      <c r="F56" s="14"/>
      <c r="G56" s="10"/>
      <c r="H56" s="10"/>
      <c r="I56" s="13"/>
      <c r="J56" s="63"/>
      <c r="K56" s="66"/>
      <c r="L56" s="13"/>
      <c r="M56" s="13"/>
      <c r="N56" s="13"/>
      <c r="O56" s="13"/>
      <c r="P56" s="13"/>
      <c r="Q56" s="13"/>
      <c r="R56" s="18" t="str">
        <f t="shared" si="4"/>
        <v>g0v tw hackath63n — 成果報告 —  ／  — 公民科技園遊會黑客松</v>
      </c>
    </row>
    <row r="57" ht="15.0" customHeight="1">
      <c r="A57" s="61">
        <v>13.0</v>
      </c>
      <c r="B57" s="11">
        <v>0.7152777777777778</v>
      </c>
      <c r="C57" s="45"/>
      <c r="D57" s="13" t="s">
        <v>19</v>
      </c>
      <c r="E57" s="13" t="s">
        <v>20</v>
      </c>
      <c r="F57" s="14"/>
      <c r="G57" s="13"/>
      <c r="H57" s="13" t="s">
        <v>193</v>
      </c>
      <c r="I57" s="65"/>
      <c r="J57" s="13"/>
      <c r="K57" s="13"/>
      <c r="L57" s="13"/>
      <c r="M57" s="13"/>
      <c r="N57" s="13"/>
      <c r="O57" s="13"/>
      <c r="P57" s="13"/>
      <c r="Q57" s="17"/>
      <c r="R57" s="18" t="str">
        <f t="shared" si="4"/>
        <v>g0v tw hackath63n — 成果報告 —  ／ 揪松團 — 公民科技園遊會黑客松</v>
      </c>
    </row>
    <row r="58" ht="15.0" customHeight="1">
      <c r="A58" s="67"/>
      <c r="B58" s="68"/>
      <c r="C58" s="68"/>
      <c r="D58" s="69"/>
      <c r="E58" s="69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</row>
    <row r="59" ht="15.0" customHeight="1">
      <c r="A59" s="67"/>
      <c r="B59" s="68"/>
      <c r="C59" s="68"/>
      <c r="D59" s="69"/>
      <c r="E59" s="69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</row>
  </sheetData>
  <mergeCells count="16">
    <mergeCell ref="D22:E22"/>
    <mergeCell ref="D23:E23"/>
    <mergeCell ref="D24:E24"/>
    <mergeCell ref="D25:E25"/>
    <mergeCell ref="D26:E26"/>
    <mergeCell ref="D27:E27"/>
    <mergeCell ref="D28:E28"/>
    <mergeCell ref="A30:Q30"/>
    <mergeCell ref="A44:Q44"/>
    <mergeCell ref="A1:N1"/>
    <mergeCell ref="A3:Q3"/>
    <mergeCell ref="A4:N4"/>
    <mergeCell ref="G19:I19"/>
    <mergeCell ref="A21:Q21"/>
    <mergeCell ref="B23:B28"/>
    <mergeCell ref="C23:C28"/>
  </mergeCells>
  <dataValidations>
    <dataValidation type="list" allowBlank="1" sqref="E5:E18 E32:E36 E45:E57">
      <formula1>"實體,預錄影片"</formula1>
    </dataValidation>
  </dataValidations>
  <hyperlinks>
    <hyperlink r:id="rId1" ref="J5"/>
    <hyperlink r:id="rId2" ref="G6"/>
    <hyperlink r:id="rId3" ref="H6"/>
    <hyperlink r:id="rId4" ref="J6"/>
    <hyperlink r:id="rId5" ref="K7"/>
    <hyperlink r:id="rId6" ref="J8"/>
    <hyperlink r:id="rId7" ref="K8"/>
    <hyperlink r:id="rId8" ref="K9"/>
    <hyperlink r:id="rId9" ref="J10"/>
    <hyperlink r:id="rId10" ref="K10"/>
    <hyperlink r:id="rId11" ref="J11"/>
    <hyperlink r:id="rId12" ref="K11"/>
    <hyperlink r:id="rId13" ref="J12"/>
    <hyperlink r:id="rId14" ref="K12"/>
    <hyperlink r:id="rId15" ref="J13"/>
    <hyperlink r:id="rId16" ref="K13"/>
    <hyperlink r:id="rId17" ref="J14"/>
    <hyperlink r:id="rId18" ref="K14"/>
    <hyperlink r:id="rId19" ref="P14"/>
    <hyperlink r:id="rId20" ref="Q14"/>
    <hyperlink r:id="rId21" ref="J15"/>
    <hyperlink r:id="rId22" ref="J16"/>
    <hyperlink r:id="rId23" ref="K16"/>
    <hyperlink r:id="rId24" ref="J17"/>
    <hyperlink r:id="rId25" location="slide=id.g28caf866bb2_1_0" ref="K17"/>
    <hyperlink r:id="rId26" location="slide=id.g28caf866bb2_1_0" ref="L17"/>
    <hyperlink r:id="rId27" ref="J18"/>
    <hyperlink r:id="rId28" ref="K18"/>
    <hyperlink r:id="rId29" ref="K23"/>
    <hyperlink r:id="rId30" ref="J25"/>
    <hyperlink r:id="rId31" ref="J26"/>
    <hyperlink r:id="rId32" ref="K32"/>
    <hyperlink r:id="rId33" ref="K33"/>
    <hyperlink r:id="rId34" ref="J34"/>
    <hyperlink r:id="rId35" ref="J35"/>
    <hyperlink r:id="rId36" ref="K35"/>
    <hyperlink r:id="rId37" ref="K36"/>
    <hyperlink r:id="rId38" ref="J45"/>
    <hyperlink r:id="rId39" ref="K45"/>
    <hyperlink r:id="rId40" ref="J48"/>
    <hyperlink r:id="rId41" ref="J49"/>
    <hyperlink r:id="rId42" ref="K49"/>
    <hyperlink r:id="rId43" ref="H50"/>
    <hyperlink r:id="rId44" ref="J50"/>
    <hyperlink r:id="rId45" ref="J51"/>
    <hyperlink r:id="rId46" location="slide=id.g28caf866bb2_1_0" ref="K51"/>
    <hyperlink r:id="rId47" location="slide=id.g28caf866bb2_1_0" ref="L51"/>
    <hyperlink r:id="rId48" ref="H52"/>
    <hyperlink r:id="rId49" ref="J52"/>
    <hyperlink r:id="rId50" ref="K52"/>
    <hyperlink r:id="rId51" ref="M52"/>
    <hyperlink r:id="rId52" ref="J53"/>
  </hyperlinks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7" width="8.38"/>
    <col customWidth="1" min="18" max="18" width="11.0"/>
    <col customWidth="1" min="19" max="27" width="8.38"/>
  </cols>
  <sheetData>
    <row r="1" ht="31.5" customHeight="1">
      <c r="A1" s="70"/>
      <c r="B1" s="71" t="s">
        <v>194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0"/>
      <c r="Q1" s="73"/>
      <c r="R1" s="71" t="s">
        <v>195</v>
      </c>
      <c r="S1" s="72"/>
      <c r="T1" s="72"/>
      <c r="U1" s="72"/>
      <c r="V1" s="72"/>
      <c r="W1" s="72"/>
      <c r="X1" s="72"/>
      <c r="Y1" s="72"/>
      <c r="Z1" s="72"/>
      <c r="AA1" s="72"/>
    </row>
    <row r="2" ht="31.5" customHeight="1">
      <c r="A2" s="70"/>
      <c r="B2" s="74"/>
      <c r="C2" s="75" t="s">
        <v>196</v>
      </c>
      <c r="D2" s="76"/>
      <c r="E2" s="74"/>
      <c r="F2" s="74"/>
      <c r="G2" s="74"/>
      <c r="H2" s="75" t="s">
        <v>196</v>
      </c>
      <c r="I2" s="76"/>
      <c r="J2" s="77"/>
      <c r="K2" s="74"/>
      <c r="L2" s="74"/>
      <c r="M2" s="75" t="s">
        <v>196</v>
      </c>
      <c r="N2" s="76"/>
      <c r="O2" s="74"/>
      <c r="P2" s="70"/>
      <c r="Q2" s="73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ht="31.5" customHeight="1">
      <c r="A3" s="70"/>
      <c r="B3" s="78"/>
      <c r="C3" s="75"/>
      <c r="D3" s="75"/>
      <c r="E3" s="70"/>
      <c r="F3" s="79" t="s">
        <v>197</v>
      </c>
      <c r="G3" s="78"/>
      <c r="H3" s="75"/>
      <c r="I3" s="76"/>
      <c r="J3" s="70"/>
      <c r="K3" s="70"/>
      <c r="L3" s="78"/>
      <c r="M3" s="75"/>
      <c r="N3" s="80"/>
      <c r="O3" s="70"/>
      <c r="P3" s="70"/>
      <c r="Q3" s="73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 ht="31.5" customHeight="1">
      <c r="A4" s="70"/>
      <c r="B4" s="71"/>
      <c r="C4" s="71"/>
      <c r="D4" s="78"/>
      <c r="E4" s="70"/>
      <c r="F4" s="70"/>
      <c r="G4" s="70"/>
      <c r="H4" s="78"/>
      <c r="I4" s="78"/>
      <c r="J4" s="70"/>
      <c r="K4" s="70"/>
      <c r="L4" s="78"/>
      <c r="M4" s="78"/>
      <c r="N4" s="70"/>
      <c r="O4" s="70"/>
      <c r="P4" s="70"/>
      <c r="Q4" s="73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ht="31.5" customHeight="1">
      <c r="A5" s="70"/>
      <c r="B5" s="79"/>
      <c r="C5" s="79"/>
      <c r="D5" s="70"/>
      <c r="E5" s="81" t="s">
        <v>198</v>
      </c>
      <c r="F5" s="82"/>
      <c r="G5" s="70"/>
      <c r="H5" s="74"/>
      <c r="I5" s="74"/>
      <c r="J5" s="78"/>
      <c r="K5" s="79"/>
      <c r="L5" s="79" t="s">
        <v>60</v>
      </c>
      <c r="M5" s="70"/>
      <c r="N5" s="79" t="s">
        <v>199</v>
      </c>
      <c r="O5" s="79" t="s">
        <v>200</v>
      </c>
      <c r="P5" s="70"/>
      <c r="Q5" s="73"/>
      <c r="R5" s="79" t="s">
        <v>201</v>
      </c>
      <c r="S5" s="70"/>
      <c r="T5" s="70"/>
      <c r="U5" s="70"/>
      <c r="V5" s="70"/>
      <c r="W5" s="70"/>
      <c r="X5" s="70"/>
      <c r="Y5" s="70"/>
      <c r="Z5" s="70"/>
      <c r="AA5" s="70"/>
    </row>
    <row r="6" ht="31.5" customHeight="1">
      <c r="A6" s="83"/>
      <c r="B6" s="84"/>
      <c r="C6" s="84"/>
      <c r="D6" s="70"/>
      <c r="E6" s="84"/>
      <c r="F6" s="84"/>
      <c r="G6" s="70"/>
      <c r="H6" s="74"/>
      <c r="I6" s="74"/>
      <c r="J6" s="70"/>
      <c r="K6" s="84"/>
      <c r="L6" s="84"/>
      <c r="M6" s="70"/>
      <c r="N6" s="84"/>
      <c r="O6" s="84"/>
      <c r="P6" s="70"/>
      <c r="Q6" s="73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 ht="31.5" customHeight="1">
      <c r="A7" s="70"/>
      <c r="B7" s="70"/>
      <c r="C7" s="70"/>
      <c r="D7" s="70"/>
      <c r="E7" s="70"/>
      <c r="F7" s="70"/>
      <c r="G7" s="79" t="s">
        <v>202</v>
      </c>
      <c r="H7" s="81" t="s">
        <v>203</v>
      </c>
      <c r="I7" s="82"/>
      <c r="J7" s="70"/>
      <c r="K7" s="70"/>
      <c r="L7" s="70"/>
      <c r="M7" s="70"/>
      <c r="N7" s="70"/>
      <c r="O7" s="70"/>
      <c r="P7" s="70"/>
      <c r="Q7" s="73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ht="31.5" customHeight="1">
      <c r="A8" s="70"/>
      <c r="B8" s="79"/>
      <c r="C8" s="79"/>
      <c r="D8" s="70"/>
      <c r="E8" s="79"/>
      <c r="F8" s="79"/>
      <c r="G8" s="70"/>
      <c r="H8" s="70"/>
      <c r="I8" s="70"/>
      <c r="J8" s="70"/>
      <c r="K8" s="70"/>
      <c r="L8" s="70"/>
      <c r="M8" s="70"/>
      <c r="N8" s="70"/>
      <c r="O8" s="70"/>
      <c r="P8" s="70"/>
      <c r="Q8" s="73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 ht="31.5" customHeight="1">
      <c r="A9" s="83"/>
      <c r="B9" s="84"/>
      <c r="C9" s="84"/>
      <c r="D9" s="70"/>
      <c r="E9" s="84"/>
      <c r="F9" s="84"/>
      <c r="G9" s="70"/>
      <c r="H9" s="70"/>
      <c r="I9" s="70"/>
      <c r="J9" s="70"/>
      <c r="K9" s="70"/>
      <c r="L9" s="70"/>
      <c r="M9" s="70"/>
      <c r="N9" s="70"/>
      <c r="O9" s="70"/>
      <c r="P9" s="70"/>
      <c r="Q9" s="73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ht="31.5" customHeight="1">
      <c r="A10" s="78" t="s">
        <v>204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3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ht="31.5" customHeight="1">
      <c r="A11" s="70"/>
      <c r="B11" s="79"/>
      <c r="C11" s="79"/>
      <c r="D11" s="70"/>
      <c r="E11" s="79"/>
      <c r="F11" s="79"/>
      <c r="G11" s="70"/>
      <c r="H11" s="70"/>
      <c r="I11" s="70"/>
      <c r="J11" s="78"/>
      <c r="K11" s="79"/>
      <c r="L11" s="79"/>
      <c r="M11" s="70"/>
      <c r="N11" s="79"/>
      <c r="O11" s="79"/>
      <c r="P11" s="70"/>
      <c r="Q11" s="73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ht="31.5" customHeight="1">
      <c r="A12" s="70"/>
      <c r="B12" s="84"/>
      <c r="C12" s="84"/>
      <c r="D12" s="70"/>
      <c r="E12" s="84"/>
      <c r="F12" s="84"/>
      <c r="G12" s="70"/>
      <c r="H12" s="70"/>
      <c r="I12" s="70"/>
      <c r="J12" s="70"/>
      <c r="K12" s="84"/>
      <c r="L12" s="84"/>
      <c r="M12" s="70"/>
      <c r="N12" s="84"/>
      <c r="O12" s="84"/>
      <c r="P12" s="70"/>
      <c r="Q12" s="73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ht="31.5" customHeight="1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3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ht="31.5" customHeight="1">
      <c r="A14" s="70"/>
      <c r="B14" s="79"/>
      <c r="C14" s="79"/>
      <c r="D14" s="70"/>
      <c r="E14" s="79"/>
      <c r="F14" s="79"/>
      <c r="G14" s="70"/>
      <c r="H14" s="79" t="s">
        <v>144</v>
      </c>
      <c r="I14" s="79" t="s">
        <v>22</v>
      </c>
      <c r="J14" s="78"/>
      <c r="K14" s="79" t="s">
        <v>205</v>
      </c>
      <c r="L14" s="79" t="s">
        <v>206</v>
      </c>
      <c r="M14" s="70"/>
      <c r="N14" s="79" t="s">
        <v>207</v>
      </c>
      <c r="O14" s="79"/>
      <c r="P14" s="70"/>
      <c r="Q14" s="73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ht="31.5" customHeight="1">
      <c r="A15" s="70"/>
      <c r="B15" s="84"/>
      <c r="C15" s="79"/>
      <c r="D15" s="70"/>
      <c r="E15" s="84"/>
      <c r="F15" s="84"/>
      <c r="G15" s="70"/>
      <c r="H15" s="79" t="s">
        <v>208</v>
      </c>
      <c r="I15" s="79" t="s">
        <v>209</v>
      </c>
      <c r="J15" s="70"/>
      <c r="K15" s="79" t="s">
        <v>210</v>
      </c>
      <c r="L15" s="84"/>
      <c r="M15" s="70"/>
      <c r="N15" s="84"/>
      <c r="O15" s="84"/>
      <c r="P15" s="70"/>
      <c r="Q15" s="73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ht="31.5" customHeight="1">
      <c r="A16" s="70"/>
      <c r="B16" s="70"/>
      <c r="C16" s="70"/>
      <c r="D16" s="70"/>
      <c r="E16" s="70"/>
      <c r="F16" s="70"/>
      <c r="G16" s="70"/>
      <c r="H16" s="70"/>
      <c r="I16" s="70"/>
      <c r="J16" s="78" t="s">
        <v>211</v>
      </c>
      <c r="K16" s="70"/>
      <c r="L16" s="70"/>
      <c r="M16" s="70"/>
      <c r="N16" s="70"/>
      <c r="O16" s="70"/>
      <c r="P16" s="70"/>
      <c r="Q16" s="73"/>
      <c r="R16" s="70"/>
      <c r="S16" s="70"/>
      <c r="T16" s="70"/>
      <c r="U16" s="70"/>
      <c r="V16" s="70"/>
      <c r="W16" s="70"/>
      <c r="X16" s="70"/>
      <c r="Y16" s="70"/>
      <c r="Z16" s="70"/>
      <c r="AA16" s="70"/>
    </row>
  </sheetData>
  <mergeCells count="8">
    <mergeCell ref="B1:O1"/>
    <mergeCell ref="R1:AA1"/>
    <mergeCell ref="C2:D2"/>
    <mergeCell ref="H2:I2"/>
    <mergeCell ref="M2:N2"/>
    <mergeCell ref="H3:I3"/>
    <mergeCell ref="E5:F5"/>
    <mergeCell ref="H7:I7"/>
  </mergeCells>
  <drawing r:id="rId1"/>
</worksheet>
</file>