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  <sheet state="visible" name="資金池投票連結-投票到1530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8">
      <text>
        <t xml:space="preserve">chewei&gt; emoji 沒顯示出來 !!
RS&gt; QQ why!</t>
      </text>
    </comment>
    <comment authorId="0" ref="G17">
      <text>
        <t xml:space="preserve">Tiff想跳坑
	-林怡廷
\ ^0^ /
	-劉哲瑋</t>
      </text>
    </comment>
  </commentList>
</comments>
</file>

<file path=xl/sharedStrings.xml><?xml version="1.0" encoding="utf-8"?>
<sst xmlns="http://schemas.openxmlformats.org/spreadsheetml/2006/main" count="447" uniqueCount="271">
  <si>
    <t>發表時間
Time</t>
  </si>
  <si>
    <t>完成</t>
  </si>
  <si>
    <t>發表者
Presenter</t>
  </si>
  <si>
    <t>提案形式
Form</t>
  </si>
  <si>
    <t>錄影以 CC-BY 釋出？
Can we record and release the video (cc-by) ?</t>
  </si>
  <si>
    <t>是否參加零世代資金池計畫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</si>
  <si>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</si>
  <si>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</si>
  <si>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</si>
  <si>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</si>
  <si>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</si>
  <si>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</si>
  <si>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</si>
  <si>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</si>
  <si>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Project Lead Contact Info</t>
  </si>
  <si>
    <t>youtube url: 專案報告 或是 預錄影片</t>
  </si>
  <si>
    <t>youtube url: 成果報告</t>
  </si>
  <si>
    <t>youtube title</t>
  </si>
  <si>
    <t>9:30 【早餐】</t>
  </si>
  <si>
    <t>【早餐】</t>
  </si>
  <si>
    <t>．阿杰手工蛋餅(自製燒肉蛋餅)＋阿杰炒奶
．台南一味品碗粿＋魚羹
．[素食] 清祺素食點心部的素食餐點</t>
  </si>
  <si>
    <t>10:00 Event Introduction and Important Reminders 開場介紹與 g0v 行為守則提醒
10:10 Beginner Tutorial Session Time 新手教學</t>
  </si>
  <si>
    <t>揪松團</t>
  </si>
  <si>
    <t>in person 實體出席</t>
  </si>
  <si>
    <t>Y</t>
  </si>
  <si>
    <t>-</t>
  </si>
  <si>
    <t>活動介紹與 g0v 行為守則事項提醒
Event Introduction and Important Reminders</t>
  </si>
  <si>
    <t>https://docs.google.com/presentation/d/1HQDY1g6lwbKOp493LXPWyACDJz1VO_oTUoY9e7SqA9k/edit</t>
  </si>
  <si>
    <t>新手教學時間
Beginner Tutorial Session Time 也歡迎參加 g0v 新手村，認識與貢獻群眾協力型專案、認識線上課程資源、帶你來提案線上課程</t>
  </si>
  <si>
    <t>10:30 Proposal Time 【提案時間】每個 present 3min，提案、徵人。</t>
  </si>
  <si>
    <t>＊無法實體出席者，建議以預錄影片提案。並將提案影片連結填在欄位「O：youtube url 或是 預錄影片」</t>
  </si>
  <si>
    <t>N</t>
  </si>
  <si>
    <t>零世代資金池 Generation Zero Vestment</t>
  </si>
  <si>
    <t>零世代資金池計畫說明與本次參加團隊簡介 Vestment &amp; Vantage: Adding Value for Gen Zero!</t>
  </si>
  <si>
    <t>CC-by</t>
  </si>
  <si>
    <t>https://g0v.hackmd.io/@jothon/20250329-bonus</t>
  </si>
  <si>
    <t>kiang</t>
  </si>
  <si>
    <t>違反勞動法令事業單位（雇主）查詢系統大改造</t>
  </si>
  <si>
    <t>mit/cc-by</t>
  </si>
  <si>
    <t>https://g0v.hackmd.io/@kiang/SJgRKcREa1l</t>
  </si>
  <si>
    <t>勞動部、地圖、被開放資料</t>
  </si>
  <si>
    <t>設計、熟悉勞動法規實務的</t>
  </si>
  <si>
    <t>g0v slack #tainan @kiang</t>
  </si>
  <si>
    <t>Ronny</t>
  </si>
  <si>
    <t>預算資料公開群眾外包</t>
  </si>
  <si>
    <t>CC0</t>
  </si>
  <si>
    <t>https://g0v.hackmd.io/@jothon/budget/https%3A%2F%2Fg0v.hackmd.io%2F01j1yrIeQ_eEWQhvFI8Gyw%3Fview</t>
  </si>
  <si>
    <t>https://docs.google.com/presentation/d/1XimZHGOnliv0Cf6xhR6DotJO7qXSzGoZwDsPRg638-Q/edit?usp=sharing</t>
  </si>
  <si>
    <t>Allen</t>
  </si>
  <si>
    <t xml:space="preserve">Wikidata </t>
  </si>
  <si>
    <t>用 Wikidata 收集你關注的資料！</t>
  </si>
  <si>
    <t>\</t>
  </si>
  <si>
    <t>https://slides.com/allenwang6212/wikidata-g0v-66</t>
  </si>
  <si>
    <t>開放資料、鏈結資料、資料再應用</t>
  </si>
  <si>
    <t>想幫忙找資料的人</t>
  </si>
  <si>
    <t>gov slack #wikidatataiwan</t>
  </si>
  <si>
    <t>Tofus, Joey</t>
  </si>
  <si>
    <t>vTaiwan</t>
  </si>
  <si>
    <t>用 vibe coding 翻新 vTaiwan 的網站吧</t>
  </si>
  <si>
    <t>cc-by</t>
  </si>
  <si>
    <t>https://g0v.hackmd.io/Q3_hgovyRHusEq8-3nomPQ</t>
  </si>
  <si>
    <t>https://docs.google.com/presentation/d/1wTfdtGarZ3XFvtJLFrhDUPEoWFrbiTPQkTwOuRq6TtI/edit?usp=sharing</t>
  </si>
  <si>
    <t>vibe coding</t>
  </si>
  <si>
    <t>想玩 vibe coding 的人</t>
  </si>
  <si>
    <t>g0v slack #vtaiwan</t>
  </si>
  <si>
    <t>slc</t>
  </si>
  <si>
    <t>HRJust</t>
  </si>
  <si>
    <t>數位防疫怎麼hack？公民科技社群的回顧</t>
  </si>
  <si>
    <t>cc-by / cc0</t>
  </si>
  <si>
    <t>https://docs.google.com/presentation/d/1qfDwQUt0vmM-aWzRSuETaAkTdCpWufuwZ_wYaMoUwIA/edit#slide=id.g3171f6dd034_0_396</t>
  </si>
  <si>
    <t>數位防疫、資料開放、個資保護</t>
  </si>
  <si>
    <t>填問卷的人、填過問卷想知道前一階段統計結果的人</t>
  </si>
  <si>
    <t>g0v slack #general @slc</t>
  </si>
  <si>
    <t>bil</t>
  </si>
  <si>
    <t xml:space="preserve">Cofacts 真的假的 </t>
  </si>
  <si>
    <t>MIT, 
CC-BY-SA</t>
  </si>
  <si>
    <t>https://cofacts.tw/hack</t>
  </si>
  <si>
    <t>https://docs.google.com/presentation/d/1m0OnbiHzJZVhxJ8ebXH63214Lv73NN-DXV3nbl-YbzY/edit#slide=id.g28caf866bb2_1_0</t>
  </si>
  <si>
    <t>Ｙ</t>
  </si>
  <si>
    <t>程式開發、事實查核、搜尋引擎最佳化</t>
  </si>
  <si>
    <t>會 Google 找資料的人
會 NodeJS / ReactJS 的人
SEO 高手、UI / UX Designer</t>
  </si>
  <si>
    <t>g0v slack #cofacts @mrorz @bil</t>
  </si>
  <si>
    <t>明錡, chewei</t>
  </si>
  <si>
    <t>目前兩位成員都超過35歲@@ 十分歡迎至少再兩位青年跳坑 ! 請至專案的 hackmd 簽到~ 當天 11:00 前看參加結果而定</t>
  </si>
  <si>
    <t>廢校預警 🚨</t>
  </si>
  <si>
    <t>學校就學人口變化趨勢推測</t>
  </si>
  <si>
    <t>CC BY 4.0</t>
  </si>
  <si>
    <t>https://g0v.hackmd.io/TG6CtrxyRdudWawzTXfPiw?view</t>
  </si>
  <si>
    <t>人口推估、學校轉型、公共設施轉型</t>
  </si>
  <si>
    <t>csv 資料分析、地理資料視覺化、互動地圖、國中國小教育辦學</t>
  </si>
  <si>
    <r>
      <rPr/>
      <t xml:space="preserve">FB 討論串
</t>
    </r>
    <r>
      <rPr>
        <color rgb="FF1155CC"/>
        <u/>
      </rPr>
      <t>https://www.facebook.com/groups/g0v.general/posts/9333292486747074/</t>
    </r>
    <r>
      <rPr/>
      <t xml:space="preserve">
g0v slack #edu #gis</t>
    </r>
  </si>
  <si>
    <t>RSChiang</t>
  </si>
  <si>
    <t>🥸</t>
  </si>
  <si>
    <t>g0v 零宇宙護照 Passport to the g0v universe</t>
  </si>
  <si>
    <t>一起來做給新参者的 g0v 零宇宙護照！🚀</t>
  </si>
  <si>
    <t>https://g0v.hackmd.io/8nYqYBChQliFk55hQlnP5Q?view</t>
  </si>
  <si>
    <t>https://docs.google.com/presentation/d/1Bq5A4hB3ElXDn6GT9ILYvXkPORiTNzXd9JFn9ZV4bHQ/edit?usp=sharing</t>
  </si>
  <si>
    <t>#jothon</t>
  </si>
  <si>
    <t>Isabel</t>
  </si>
  <si>
    <t>負責任 AI 使用與開發指南</t>
  </si>
  <si>
    <t>https://docs.google.com/presentation/d/1wJVO6XouesapW9lqI5kAUL694kLwuDzq/edit?usp=sharing&amp;ouid=108684613353986701205&amp;rtpof=true&amp;sd=true</t>
  </si>
  <si>
    <t>AI素養、負責任使用AI、教材</t>
  </si>
  <si>
    <t>任何對AI有興趣/好奇的人、有意願參與測試與回饋的人</t>
  </si>
  <si>
    <t>g0v slack @isabel @tiff</t>
  </si>
  <si>
    <t>Barry</t>
  </si>
  <si>
    <t>Y 成員不夠
兩年後必定會發</t>
  </si>
  <si>
    <t>零防禦社交工程：
資訊落差定標防詐</t>
  </si>
  <si>
    <t>全面的居民社交工程</t>
  </si>
  <si>
    <t>https://g0v.hackmd.io/@BarryYu/H1oT2Ozayg</t>
  </si>
  <si>
    <t xml:space="preserve"> 資安駭客就是詐騙首腦</t>
  </si>
  <si>
    <t>社交工程 資安 防詐騙 
城鄉資訊</t>
  </si>
  <si>
    <t>資訊安全工程師, 找資料 ,
提供資金  命理</t>
  </si>
  <si>
    <t>barry.dc.yu@tac.com.tw
doung1118@gmail.com</t>
  </si>
  <si>
    <t>SeanGau、Dong</t>
  </si>
  <si>
    <t>g0v Slack Archive 訊息迷因產生器</t>
  </si>
  <si>
    <t>g0v Archive 名言佳句產生器</t>
  </si>
  <si>
    <t>https://g0v.hackmd.io/@SeanGau/Bk8XVE4aJl#/</t>
  </si>
  <si>
    <t>基礎建設、迷因、冷笑話</t>
  </si>
  <si>
    <t>g0v slack @SeanGau @Dong</t>
  </si>
  <si>
    <t>婉玲</t>
  </si>
  <si>
    <t>開放地方預算資料 從台南開始</t>
  </si>
  <si>
    <t>https://docs.google.com/presentation/d/17mw_qE8BZ5FczBWNSLsP84hPuW9I0BVeVzNFBrrY3bs/edit#slide=id.p</t>
  </si>
  <si>
    <t>kennyluck</t>
  </si>
  <si>
    <t>新藥資訊大公開</t>
  </si>
  <si>
    <t>TFDA 新藥審審批、健保會會議進度</t>
  </si>
  <si>
    <t>https://lmspiq.fda.gov.tw/web/DRPIQ/DRPIQLicSearch</t>
  </si>
  <si>
    <t>新藥、健保、跨國醫療比較</t>
  </si>
  <si>
    <t>g0v slack @kennyluck</t>
  </si>
  <si>
    <t>chihao</t>
  </si>
  <si>
    <t>Facing the Ocean 面海松 2025 在台灣</t>
  </si>
  <si>
    <t>https://g0v.hackmd.io/@fto/book</t>
  </si>
  <si>
    <t>https://docs.google.com/presentation/d/192uozQ1F4zC_RXdkVfzGGYkQ2BHLjy2EI9fwuM5SQR4/edit#slide=id.g33e1e206c21_0_169</t>
  </si>
  <si>
    <t>== 截止 ==</t>
  </si>
  <si>
    <t>11:30-12:00 Newcomer workshop: intro about g0v community &amp; open resource
【零時小學校新手村】主會場</t>
  </si>
  <si>
    <t>12:00-13:00 Lunch【午餐時間】</t>
  </si>
  <si>
    <t>【午餐】</t>
  </si>
  <si>
    <t>．邱家小捲米粉(+魚丸、魚皮)
．江川肉燥飯便當(肉燥+腿庫+香腸+滷蛋)
．新美街恭仔意麵  
．[素食] 三津製麵 或 清祺素食點心部的素食餐點</t>
  </si>
  <si>
    <t>【活動飲料】</t>
  </si>
  <si>
    <t>公館手作：
．[無咖啡因] 蔓越莓醋飲
．康堤紅茶(微糖)
．輕烏龍(無糖)</t>
  </si>
  <si>
    <t>13:00-13:30 AI Responsibility Guide Sharing【負責任 AI 使用指南教材分享會】主會場</t>
  </si>
  <si>
    <t>14:00 或 15:00 【下午點心】</t>
  </si>
  <si>
    <t>【下午點心】</t>
  </si>
  <si>
    <t>．陳伯煎包子
．林家茂子白糖粿蕃薯椪
．台灣番薯丸地瓜球</t>
  </si>
  <si>
    <t>14:30 Talk【短講報名】每個 present 8min，分享議題、專案、研究、技術皆可。</t>
  </si>
  <si>
    <t>順序</t>
  </si>
  <si>
    <t>發表時間（自填）</t>
  </si>
  <si>
    <t>錄影以 CC-BY 釋出?</t>
  </si>
  <si>
    <t>相關連結
Links</t>
  </si>
  <si>
    <t>三個關鍵字
3 Keywords of Project</t>
  </si>
  <si>
    <t>專案徵人
Recruitment (talents?)</t>
  </si>
  <si>
    <t>坑主聯絡方式</t>
  </si>
  <si>
    <t>Tofus</t>
  </si>
  <si>
    <t>原本在做 vTaiwan 反而卻做出了焦慮戳戳樂</t>
  </si>
  <si>
    <t>不會寫 SwiftUI，卻用 AI 寫出一度在 App Store 免費排行 #1 的 app？</t>
  </si>
  <si>
    <t>CC-BY</t>
  </si>
  <si>
    <t>https://www.gvm.com.tw/article/120015</t>
  </si>
  <si>
    <t>https://docs.google.com/presentation/d/1G_FiXFCZYIx2UlBnhj7W9NAO_GjZdf8Uuyu5h0jVONw/edit?usp=sharing</t>
  </si>
  <si>
    <t>#焦慮 #戳戳樂 #vibe-coding</t>
  </si>
  <si>
    <t>有人要寫安卓版嗎 xD</t>
  </si>
  <si>
    <t>@tofus</t>
  </si>
  <si>
    <t>LawTrace 讓你查詢修法歷程</t>
  </si>
  <si>
    <t>https://docs.google.com/presentation/d/1MAqfMF2U59iR-GD2dPdUOeofaI1be1PIRZhcoo-8EPQ/edit?usp=sharing</t>
  </si>
  <si>
    <t>https://lawtrace.tw</t>
  </si>
  <si>
    <t>零防禦社交工程：
改善資訊落差防詐社交</t>
  </si>
  <si>
    <t>不需要太多資訊技能○ 目標是總統盃黑客松
只要會用LINE FB IG  會PO廣告 會騙人 OK拉</t>
  </si>
  <si>
    <t>Barry什麼事ＣＣＢＹ</t>
  </si>
  <si>
    <t>https://docs.google.com/presentation/d/1RFmxjubfIaFT_6B6Lo9JqFBNJgZG8ow6davvAgLm82A/edit?slide=id.p1#slide=id.p1</t>
  </si>
  <si>
    <t>#永續#社會福利#成就感#發展性</t>
  </si>
  <si>
    <t>需要有熱誠 相信未來的樣貌
想要成就感   懂得分享  高EQ</t>
  </si>
  <si>
    <t>東承 Barry</t>
  </si>
  <si>
    <t>Teemo</t>
  </si>
  <si>
    <t>無</t>
  </si>
  <si>
    <t>網站做出來之後</t>
  </si>
  <si>
    <t>https://www.canva.com/design/DAF-bZu-LsE/qX42vVNa_pIi7dTG_GHYwA/view</t>
  </si>
  <si>
    <t>#跳坑 #網站 #助推</t>
  </si>
  <si>
    <t>荊輔翔</t>
  </si>
  <si>
    <t>Meshtastic 數位韌性</t>
  </si>
  <si>
    <t>Meshtastic介紹</t>
  </si>
  <si>
    <t>https://www.facebook.com/groups/meshtastictw</t>
  </si>
  <si>
    <t>https://docs.google.com/presentation/d/1UBMQ1lEWUdMpQhe12Gjlu-ShnFj15z5Bfbf787j5x3A/edit?usp=sharing</t>
  </si>
  <si>
    <t>就 輔翔 / Sean</t>
  </si>
  <si>
    <t>16:00 Present project【成果報告】 每個 present 5min，可視 project 數量和剩餘時間調整</t>
  </si>
  <si>
    <t>零世代資金池計畫獎金公布</t>
  </si>
  <si>
    <t>Sky Wind</t>
  </si>
  <si>
    <t>TNFSH Class Table</t>
  </si>
  <si>
    <t>把學校的課表變成更好用的形式</t>
  </si>
  <si>
    <t>MIT</t>
  </si>
  <si>
    <t>https://hackmd.io/@Skywind5487/tnfsh_class_table</t>
  </si>
  <si>
    <t>#學校#課表#數位化</t>
  </si>
  <si>
    <t>discord: skywind5487</t>
  </si>
  <si>
    <t>MIT/cc-by</t>
  </si>
  <si>
    <t>https://tainan.olc.tw/p/labor/</t>
  </si>
  <si>
    <t>設計師、熟悉勞動法規人士</t>
  </si>
  <si>
    <t>bil, 喬閔</t>
  </si>
  <si>
    <t>Wikidata</t>
  </si>
  <si>
    <t>Wikidata 街景團與廟宇資料</t>
  </si>
  <si>
    <t>https://meta.wikimedia.org/wiki/Wikimedia_Taiwan/Wikidata_Taiwan/2025</t>
  </si>
  <si>
    <t>喜歡到處走走的人</t>
  </si>
  <si>
    <t>會開車、會拍照、會上傳資料</t>
  </si>
  <si>
    <t>g0v slack #wikidatataiwan @Allen</t>
  </si>
  <si>
    <t>chewei, 明錡, yellowsoar</t>
  </si>
  <si>
    <t xml:space="preserve">教育沙漠化 🚨 廢校預警 </t>
  </si>
  <si>
    <t>成功推坑別人玩 vibe coding!
(還收到了很多 credit）</t>
  </si>
  <si>
    <t>東亞公民科技聯盟、跨國開源協作</t>
  </si>
  <si>
    <t>Tiff</t>
  </si>
  <si>
    <t>https://docs.google.com/document/d/1z7P43rCTNL_KDOSOn824dLUWjOejeYouj-m_vQ9AX5k/edit?usp=sharing</t>
  </si>
  <si>
    <t>預決算群眾外包</t>
  </si>
  <si>
    <t>https://docs.google.com/presentation/d/1XimZHGOnliv0Cf6xhR6DotJO7qXSzGoZwDsPRg638-Q/edit#slide=id.g33e1ee4e0d6_0_5</t>
  </si>
  <si>
    <t>RSChiang, Dong &amp; tiwb</t>
  </si>
  <si>
    <t>Jothon 揪松團</t>
  </si>
  <si>
    <t>歡迎大家填寫影響力問卷 
Participation Satisfaction and Impact Survey</t>
  </si>
  <si>
    <r>
      <rPr/>
      <t xml:space="preserve">中文版：
</t>
    </r>
    <r>
      <rPr>
        <color rgb="FF1155CC"/>
        <u/>
      </rPr>
      <t>https://bit.ly/0123g0vsurvey</t>
    </r>
    <r>
      <rPr/>
      <t xml:space="preserve">
English version：
</t>
    </r>
    <r>
      <rPr>
        <color rgb="FF1155CC"/>
        <u/>
      </rPr>
      <t>https://forms.gle/t9CrFEHtMGQ253JBA</t>
    </r>
  </si>
  <si>
    <r>
      <rPr>
        <b/>
        <color rgb="FFFF9700"/>
        <sz val="17.0"/>
      </rPr>
      <t xml:space="preserve">請留意自身物品 Common Lost items ! Don’t forget to bring them home!
</t>
    </r>
    <r>
      <rPr>
        <b/>
        <color rgb="FFFF9700"/>
        <sz val="14.0"/>
      </rPr>
      <t>充電線、插座頭、USB Charging items: Wires &amp; Plugs
保溫杯、環保餐具與筷子 Waterbottles, tablewares and chopsticks
外套、圍巾 Clothes: Jacket, Scarf
錢包、各種卡片、手機、無線耳機 Important items: Wallet, cellphones</t>
    </r>
  </si>
  <si>
    <t>請自行領取(剪下並刪除)投票連結，一人限領一坨連結
投票時間：~3/29-1530</t>
  </si>
  <si>
    <t>https://quadraticvote.radicalxchange.org/vote?user=9ec2f273-ef8a-4bab-b466-583169c89597</t>
  </si>
  <si>
    <t>https://quadraticvote.radicalxchange.org/vote?user=df2f6752-2356-496f-b058-23e670829a0a</t>
  </si>
  <si>
    <t>https://quadraticvote.radicalxchange.org/vote?user=a5b0c54d-0736-4a15-92d2-1bc608fa4df8</t>
  </si>
  <si>
    <t>https://quadraticvote.radicalxchange.org/vote?user=0e275251-73a5-4d71-a9a9-00046892cb5a</t>
  </si>
  <si>
    <t>https://quadraticvote.radicalxchange.org/vote?user=46576d93-4559-4ee1-90ea-3605994f49be</t>
  </si>
  <si>
    <t>https://quadraticvote.radicalxchange.org/vote?user=acc89b8a-66d6-4cbc-930b-eb1a037755a8</t>
  </si>
  <si>
    <t>https://quadraticvote.radicalxchange.org/vote?user=06c9a7d8-2a06-48fd-adf6-5c72742c395c</t>
  </si>
  <si>
    <t>https://quadraticvote.radicalxchange.org/vote?user=02637aac-a7a9-4553-a4c6-88837f5fcfe6</t>
  </si>
  <si>
    <t>https://quadraticvote.radicalxchange.org/vote?user=0a96d7cf-56d0-4942-bec8-d19e05218f21</t>
  </si>
  <si>
    <t>https://quadraticvote.radicalxchange.org/vote?user=f1d24db2-ac7e-4b14-aa95-ad9debdeb412</t>
  </si>
  <si>
    <t>https://quadraticvote.radicalxchange.org/vote?user=1657b082-fa02-4d8f-937d-0676e753227b</t>
  </si>
  <si>
    <t>https://quadraticvote.radicalxchange.org/vote?user=ac654628-214a-4690-8b48-16823d4988ae</t>
  </si>
  <si>
    <t>https://quadraticvote.radicalxchange.org/vote?user=054a6831-fee3-4aa2-a440-0e34681d6878</t>
  </si>
  <si>
    <t>https://quadraticvote.radicalxchange.org/vote?user=f41ef8ac-5d98-4661-a681-6eab09c2a1bb</t>
  </si>
  <si>
    <t>https://quadraticvote.radicalxchange.org/vote?user=d2da5bcc-6d17-436e-99b5-4b681326f7c3</t>
  </si>
  <si>
    <t>https://quadraticvote.radicalxchange.org/vote?user=7853db00-3d8c-4697-a646-ec334564b822</t>
  </si>
  <si>
    <t>https://quadraticvote.radicalxchange.org/vote?user=94187cf4-1a0c-4b04-80bb-482225f4344b</t>
  </si>
  <si>
    <t>https://quadraticvote.radicalxchange.org/vote?user=eefcc8e5-a630-49ea-8d04-f2fa3b33962c</t>
  </si>
  <si>
    <t>https://quadraticvote.radicalxchange.org/vote?user=53a5ba90-cfd6-4bdf-8a89-29f6f743d27a</t>
  </si>
  <si>
    <t>https://quadraticvote.radicalxchange.org/vote?user=cf711ac3-3f72-4813-89ff-aa601e01ae8c</t>
  </si>
  <si>
    <t>https://quadraticvote.radicalxchange.org/vote?user=9ab5313a-e730-4dda-addb-a535381ecad7</t>
  </si>
  <si>
    <t>https://quadraticvote.radicalxchange.org/vote?user=5a54ecda-32a6-40ba-9417-7be1be9d4801</t>
  </si>
  <si>
    <t>https://quadraticvote.radicalxchange.org/vote?user=671cbf48-048e-40ee-8350-a9852941f3ce</t>
  </si>
  <si>
    <t>https://quadraticvote.radicalxchange.org/vote?user=f14d3845-7832-4399-940e-7228f085c798</t>
  </si>
  <si>
    <t>https://quadraticvote.radicalxchange.org/vote?user=3e51705a-a8ac-4658-8b30-215668879d62</t>
  </si>
  <si>
    <t>https://quadraticvote.radicalxchange.org/vote?user=f0e701fe-bdf2-4f50-921e-25731c405b26</t>
  </si>
  <si>
    <t>https://quadraticvote.radicalxchange.org/vote?user=0336d438-ee7e-4bfb-8f4d-aab41ad488fb</t>
  </si>
  <si>
    <t>https://quadraticvote.radicalxchange.org/vote?user=170763e5-260a-42c2-95bc-13ee0bbbbb17</t>
  </si>
  <si>
    <t>https://quadraticvote.radicalxchange.org/vote?user=837e2a5f-5cfa-4705-a06e-b5aaab3806f4</t>
  </si>
  <si>
    <t>https://quadraticvote.radicalxchange.org/vote?user=678e0e40-8647-4ae1-a707-4a3c647414dc</t>
  </si>
  <si>
    <t>https://quadraticvote.radicalxchange.org/vote?user=876a0a00-60b7-41ab-a4c1-44c1497247b0</t>
  </si>
  <si>
    <t>https://quadraticvote.radicalxchange.org/vote?user=9812b8d4-cf05-4f73-921d-6c485afe4ef8</t>
  </si>
  <si>
    <t>https://quadraticvote.radicalxchange.org/vote?user=cb2110ed-85cc-4dfe-9f88-defbe4acbe4a</t>
  </si>
  <si>
    <t>https://quadraticvote.radicalxchange.org/vote?user=32130d18-2021-4e8b-8ccf-9af273f5781a</t>
  </si>
  <si>
    <t>https://quadraticvote.radicalxchange.org/vote?user=1a12c21e-94b6-4061-8830-b6e6cf013aeb</t>
  </si>
  <si>
    <t>https://quadraticvote.radicalxchange.org/vote?user=197e2aac-8843-4449-a27f-0ab0f0ab9efd</t>
  </si>
  <si>
    <t>https://quadraticvote.radicalxchange.org/vote?user=5e572eb1-2c1d-4127-a69e-25dc4a8cec62</t>
  </si>
  <si>
    <t>https://quadraticvote.radicalxchange.org/vote?user=f94dc0d3-d430-4782-ac37-932fc472baf3</t>
  </si>
  <si>
    <t>https://quadraticvote.radicalxchange.org/vote?user=088dcbe2-b908-4fd2-b7ba-119764380a89</t>
  </si>
  <si>
    <t>https://quadraticvote.radicalxchange.org/vote?user=643e79fb-fb30-4735-a936-a1a5051c5aba</t>
  </si>
  <si>
    <t>https://quadraticvote.radicalxchange.org/vote?user=72618ab3-cbf2-4272-8a6c-c3aa5e7bcd4b</t>
  </si>
  <si>
    <t>https://quadraticvote.radicalxchange.org/vote?user=d4b1e64d-752d-44c6-b0cd-7480564b653d</t>
  </si>
  <si>
    <t>https://quadraticvote.radicalxchange.org/vote?user=25dd7cdd-9455-4268-a0ed-2544335271ba</t>
  </si>
  <si>
    <t>https://quadraticvote.radicalxchange.org/vote?user=495f6019-301c-4320-abdc-36e43641ebc2</t>
  </si>
  <si>
    <t>https://quadraticvote.radicalxchange.org/vote?user=1623df48-21bb-4cec-bacb-a03711157684</t>
  </si>
  <si>
    <t>https://quadraticvote.radicalxchange.org/vote?user=6e4281ef-1565-47c9-b7d7-a4e52a5740e0</t>
  </si>
  <si>
    <t>https://quadraticvote.radicalxchange.org/vote?user=059a5cd0-8802-4379-80d3-2559cd7f0cef</t>
  </si>
  <si>
    <t>https://quadraticvote.radicalxchange.org/vote?user=b2ad1fda-7ea2-4e7c-af59-17f297df2b46</t>
  </si>
  <si>
    <t>https://quadraticvote.radicalxchange.org/vote?user=4f4f87bb-1f57-4a4a-bd51-1dff7af9bba9</t>
  </si>
  <si>
    <t>https://quadraticvote.radicalxchange.org/vote?user=3e925ae8-1337-4019-8f20-af5e50229651</t>
  </si>
  <si>
    <t>https://quadraticvote.radicalxchange.org/vote?user=fc50938e-d2c8-4aff-be0a-30a8d2df382c</t>
  </si>
  <si>
    <t>https://quadraticvote.radicalxchange.org/vote?user=b1dd6950-61d5-4a9e-9b8f-08041e5ff338</t>
  </si>
  <si>
    <t>https://quadraticvote.radicalxchange.org/vote?user=6ca3b475-1b93-4337-b5f6-2c9bb70b6d97</t>
  </si>
  <si>
    <t>https://quadraticvote.radicalxchange.org/vote?user=6097b428-d317-4ec7-ba54-c2eaa1f3d819</t>
  </si>
  <si>
    <t>https://quadraticvote.radicalxchange.org/vote?user=24f21d62-56c2-446e-b330-2bded9724cc0</t>
  </si>
  <si>
    <t>https://quadraticvote.radicalxchange.org/vote?user=6316a516-6cee-4014-8864-a8030bbc04f9</t>
  </si>
  <si>
    <t>https://quadraticvote.radicalxchange.org/vote?user=343877ed-ea0c-43b5-ad97-2ab8e9e8f674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</si>
</sst>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9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name val="Arial"/>
    </font>
    <font>
      <b/>
      <name val="Arial"/>
    </font>
    <font>
      <b/>
      <sz val="8.0"/>
      <name val="Arial"/>
    </font>
    <font>
      <b/>
      <sz val="17.0"/>
      <color rgb="FFFF9700"/>
      <name val="Arial"/>
    </font>
    <font>
      <sz val="10.0"/>
      <color rgb="FF000000"/>
    </font>
    <font/>
    <font>
      <sz val="14.0"/>
    </font>
    <font>
      <sz val="9.0"/>
      <color rgb="FF008000"/>
      <name val="&quot;Google Sans Mono&quot;"/>
    </font>
    <font>
      <u/>
      <color rgb="FF0000FF"/>
    </font>
    <font>
      <color rgb="FFFF9900"/>
    </font>
    <font>
      <u/>
      <color rgb="FF0000FF"/>
    </font>
    <font>
      <u/>
      <color rgb="FF0000FF"/>
      <name val="Arial"/>
    </font>
    <font>
      <u/>
      <color rgb="FF1155CC"/>
      <name val="Arial"/>
    </font>
    <font>
      <sz val="10.0"/>
    </font>
    <font>
      <u/>
      <color rgb="FF0000FF"/>
      <name val="Arial"/>
    </font>
    <font>
      <sz val="8.0"/>
    </font>
    <font>
      <u/>
      <color rgb="FF0000FF"/>
    </font>
    <font>
      <sz val="10.0"/>
      <color rgb="FF000000"/>
      <name val="ProximaNova-Semibold"/>
    </font>
    <font>
      <u/>
      <sz val="10.0"/>
      <color rgb="FF0000FF"/>
    </font>
    <font>
      <sz val="12.0"/>
    </font>
    <font>
      <sz val="11.0"/>
    </font>
    <font>
      <b/>
      <sz val="10.0"/>
    </font>
    <font>
      <b/>
      <sz val="8.0"/>
    </font>
    <font>
      <sz val="11.0"/>
      <color rgb="FF000000"/>
      <name val="&quot;Times New Roman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2.0"/>
      <color rgb="FF0000FF"/>
    </font>
    <font>
      <u/>
      <sz val="12.0"/>
      <color rgb="FF0000FF"/>
    </font>
    <font>
      <u/>
      <color rgb="FF000000"/>
    </font>
    <font>
      <u/>
      <color rgb="FF0000FF"/>
    </font>
    <font>
      <sz val="6.0"/>
    </font>
    <font>
      <color rgb="FF000000"/>
      <name val="Arial"/>
    </font>
    <font>
      <b/>
      <sz val="14.0"/>
      <color rgb="FFFF0000"/>
    </font>
    <font>
      <color rgb="FFFF000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4" fontId="6" numFmtId="0" xfId="0" applyAlignment="1" applyFill="1" applyFont="1">
      <alignment readingOrder="0" shrinkToFit="0" wrapText="1"/>
    </xf>
    <xf borderId="2" fillId="4" fontId="3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6" fontId="10" numFmtId="0" xfId="0" applyAlignment="1" applyFill="1" applyFont="1">
      <alignment shrinkToFit="0" wrapText="1"/>
    </xf>
    <xf borderId="0" fillId="4" fontId="3" numFmtId="0" xfId="0" applyAlignment="1" applyFont="1">
      <alignment shrinkToFit="0" wrapText="1"/>
    </xf>
    <xf borderId="0" fillId="0" fontId="11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12" numFmtId="0" xfId="0" applyAlignment="1" applyFont="1">
      <alignment readingOrder="0" shrinkToFit="0" vertical="center" wrapText="1"/>
    </xf>
    <xf borderId="2" fillId="4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5" fontId="8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20" numFmtId="0" xfId="0" applyAlignment="1" applyFont="1">
      <alignment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2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ont="1">
      <alignment horizontal="center" shrinkToFit="0" wrapText="1"/>
    </xf>
    <xf borderId="0" fillId="0" fontId="8" numFmtId="0" xfId="0" applyAlignment="1" applyFont="1">
      <alignment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2" fillId="4" fontId="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24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3" fontId="25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6" fontId="26" numFmtId="0" xfId="0" applyAlignment="1" applyFont="1">
      <alignment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readingOrder="0" shrinkToFit="0" wrapText="1"/>
    </xf>
    <xf borderId="0" fillId="0" fontId="30" numFmtId="0" xfId="0" applyAlignment="1" applyFont="1">
      <alignment readingOrder="0" shrinkToFit="0" wrapText="1"/>
    </xf>
    <xf borderId="0" fillId="0" fontId="8" numFmtId="0" xfId="0" applyAlignment="1" applyFont="1">
      <alignment horizontal="right" readingOrder="0" shrinkToFit="0" vertical="center" wrapText="1"/>
    </xf>
    <xf borderId="0" fillId="0" fontId="3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7" fontId="8" numFmtId="0" xfId="0" applyAlignment="1" applyFill="1" applyFont="1">
      <alignment shrinkToFit="0" vertical="center" wrapText="1"/>
    </xf>
    <xf borderId="0" fillId="7" fontId="16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16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3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0" fillId="6" fontId="16" numFmtId="0" xfId="0" applyAlignment="1" applyFont="1">
      <alignment readingOrder="0" shrinkToFit="0" wrapText="1"/>
    </xf>
    <xf borderId="0" fillId="0" fontId="34" numFmtId="0" xfId="0" applyAlignment="1" applyFont="1">
      <alignment readingOrder="0" shrinkToFit="0" wrapText="0"/>
    </xf>
    <xf borderId="0" fillId="8" fontId="8" numFmtId="0" xfId="0" applyAlignment="1" applyFill="1" applyFont="1">
      <alignment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8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wrapText="1"/>
    </xf>
    <xf borderId="2" fillId="0" fontId="35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0" fillId="6" fontId="36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ckmd.io/@Skywind5487/tnfsh_class_table" TargetMode="External"/><Relationship Id="rId42" Type="http://schemas.openxmlformats.org/officeDocument/2006/relationships/hyperlink" Target="https://tainan.olc.tw/p/labor/" TargetMode="External"/><Relationship Id="rId41" Type="http://schemas.openxmlformats.org/officeDocument/2006/relationships/hyperlink" Target="https://g0v.hackmd.io/@kiang/SJgRKcREa1l" TargetMode="External"/><Relationship Id="rId44" Type="http://schemas.openxmlformats.org/officeDocument/2006/relationships/hyperlink" Target="https://meta.wikimedia.org/wiki/Wikimedia_Taiwan/Wikidata_Taiwan/2025" TargetMode="External"/><Relationship Id="rId43" Type="http://schemas.openxmlformats.org/officeDocument/2006/relationships/hyperlink" Target="https://cofacts.tw/hack" TargetMode="External"/><Relationship Id="rId46" Type="http://schemas.openxmlformats.org/officeDocument/2006/relationships/hyperlink" Target="https://g0v.hackmd.io/@fto/book" TargetMode="External"/><Relationship Id="rId45" Type="http://schemas.openxmlformats.org/officeDocument/2006/relationships/hyperlink" Target="https://g0v.hackmd.io/TG6CtrxyRdudWawzTXfPiw?vie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presentation/d/1HQDY1g6lwbKOp493LXPWyACDJz1VO_oTUoY9e7SqA9k/edit" TargetMode="External"/><Relationship Id="rId3" Type="http://schemas.openxmlformats.org/officeDocument/2006/relationships/hyperlink" Target="https://g0v.hackmd.io/@jothon/20250329-bonus" TargetMode="External"/><Relationship Id="rId4" Type="http://schemas.openxmlformats.org/officeDocument/2006/relationships/hyperlink" Target="https://g0v.hackmd.io/@kiang/SJgRKcREa1l" TargetMode="External"/><Relationship Id="rId9" Type="http://schemas.openxmlformats.org/officeDocument/2006/relationships/hyperlink" Target="https://docs.google.com/presentation/d/1wTfdtGarZ3XFvtJLFrhDUPEoWFrbiTPQkTwOuRq6TtI/edit?usp=sharing" TargetMode="External"/><Relationship Id="rId48" Type="http://schemas.openxmlformats.org/officeDocument/2006/relationships/hyperlink" Target="https://docs.google.com/document/d/1z7P43rCTNL_KDOSOn824dLUWjOejeYouj-m_vQ9AX5k/edit?usp=sharing" TargetMode="External"/><Relationship Id="rId47" Type="http://schemas.openxmlformats.org/officeDocument/2006/relationships/hyperlink" Target="https://docs.google.com/presentation/d/192uozQ1F4zC_RXdkVfzGGYkQ2BHLjy2EI9fwuM5SQR4/edit" TargetMode="External"/><Relationship Id="rId49" Type="http://schemas.openxmlformats.org/officeDocument/2006/relationships/hyperlink" Target="https://docs.google.com/document/d/1z7P43rCTNL_KDOSOn824dLUWjOejeYouj-m_vQ9AX5k/edit?usp=sharing" TargetMode="External"/><Relationship Id="rId5" Type="http://schemas.openxmlformats.org/officeDocument/2006/relationships/hyperlink" Target="https://g0v.hackmd.io/@jothon/budget/https%3A%2F%2Fg0v.hackmd.io%2F01j1yrIeQ_eEWQhvFI8Gyw%3Fview" TargetMode="External"/><Relationship Id="rId6" Type="http://schemas.openxmlformats.org/officeDocument/2006/relationships/hyperlink" Target="https://docs.google.com/presentation/d/1XimZHGOnliv0Cf6xhR6DotJO7qXSzGoZwDsPRg638-Q/edit?usp=sharing" TargetMode="External"/><Relationship Id="rId7" Type="http://schemas.openxmlformats.org/officeDocument/2006/relationships/hyperlink" Target="https://slides.com/allenwang6212/wikidata-g0v-66" TargetMode="External"/><Relationship Id="rId8" Type="http://schemas.openxmlformats.org/officeDocument/2006/relationships/hyperlink" Target="https://g0v.hackmd.io/Q3_hgovyRHusEq8-3nomPQ" TargetMode="External"/><Relationship Id="rId31" Type="http://schemas.openxmlformats.org/officeDocument/2006/relationships/hyperlink" Target="https://g0v.hackmd.io/@BarryYu/H1oT2Ozayg" TargetMode="External"/><Relationship Id="rId30" Type="http://schemas.openxmlformats.org/officeDocument/2006/relationships/hyperlink" Target="https://lawtrace.tw/" TargetMode="External"/><Relationship Id="rId33" Type="http://schemas.openxmlformats.org/officeDocument/2006/relationships/hyperlink" Target="mailto:doung1118@gmail.com" TargetMode="External"/><Relationship Id="rId32" Type="http://schemas.openxmlformats.org/officeDocument/2006/relationships/hyperlink" Target="https://docs.google.com/presentation/d/1RFmxjubfIaFT_6B6Lo9JqFBNJgZG8ow6davvAgLm82A/edit?slide=id.p1" TargetMode="External"/><Relationship Id="rId35" Type="http://schemas.openxmlformats.org/officeDocument/2006/relationships/hyperlink" Target="https://www.canva.com/design/DAF-bZu-LsE/qX42vVNa_pIi7dTG_GHYwA/view" TargetMode="External"/><Relationship Id="rId34" Type="http://schemas.openxmlformats.org/officeDocument/2006/relationships/hyperlink" Target="https://www.canva.com/design/DAF-bZu-LsE/qX42vVNa_pIi7dTG_GHYwA/view" TargetMode="External"/><Relationship Id="rId37" Type="http://schemas.openxmlformats.org/officeDocument/2006/relationships/hyperlink" Target="https://docs.google.com/presentation/d/1UBMQ1lEWUdMpQhe12Gjlu-ShnFj15z5Bfbf787j5x3A/edit?usp=sharing" TargetMode="External"/><Relationship Id="rId36" Type="http://schemas.openxmlformats.org/officeDocument/2006/relationships/hyperlink" Target="https://www.facebook.com/groups/meshtastictw" TargetMode="External"/><Relationship Id="rId39" Type="http://schemas.openxmlformats.org/officeDocument/2006/relationships/hyperlink" Target="https://hackmd.io/@Skywind5487/tnfsh_class_table" TargetMode="External"/><Relationship Id="rId38" Type="http://schemas.openxmlformats.org/officeDocument/2006/relationships/hyperlink" Target="https://g0v.hackmd.io/@jothon/20250329-bonus" TargetMode="External"/><Relationship Id="rId20" Type="http://schemas.openxmlformats.org/officeDocument/2006/relationships/hyperlink" Target="https://docs.google.com/presentation/d/1RFmxjubfIaFT_6B6Lo9JqFBNJgZG8ow6davvAgLm82A/edit?slide=id.p1" TargetMode="External"/><Relationship Id="rId22" Type="http://schemas.openxmlformats.org/officeDocument/2006/relationships/hyperlink" Target="https://g0v.hackmd.io/@SeanGau/Bk8XVE4aJl" TargetMode="External"/><Relationship Id="rId21" Type="http://schemas.openxmlformats.org/officeDocument/2006/relationships/hyperlink" Target="https://g0v.hackmd.io/@SeanGau/Bk8XVE4aJl" TargetMode="External"/><Relationship Id="rId24" Type="http://schemas.openxmlformats.org/officeDocument/2006/relationships/hyperlink" Target="https://lmspiq.fda.gov.tw/web/DRPIQ/DRPIQLicSearch" TargetMode="External"/><Relationship Id="rId23" Type="http://schemas.openxmlformats.org/officeDocument/2006/relationships/hyperlink" Target="https://docs.google.com/presentation/d/17mw_qE8BZ5FczBWNSLsP84hPuW9I0BVeVzNFBrrY3bs/edit" TargetMode="External"/><Relationship Id="rId26" Type="http://schemas.openxmlformats.org/officeDocument/2006/relationships/hyperlink" Target="https://docs.google.com/presentation/d/192uozQ1F4zC_RXdkVfzGGYkQ2BHLjy2EI9fwuM5SQR4/edit" TargetMode="External"/><Relationship Id="rId25" Type="http://schemas.openxmlformats.org/officeDocument/2006/relationships/hyperlink" Target="https://g0v.hackmd.io/@fto/book" TargetMode="External"/><Relationship Id="rId28" Type="http://schemas.openxmlformats.org/officeDocument/2006/relationships/hyperlink" Target="https://apps.apple.com/tw/app/panic-tracker-the-red-button/id6743371838?l=en-GB" TargetMode="External"/><Relationship Id="rId27" Type="http://schemas.openxmlformats.org/officeDocument/2006/relationships/hyperlink" Target="https://www.gvm.com.tw/article/120015" TargetMode="External"/><Relationship Id="rId29" Type="http://schemas.openxmlformats.org/officeDocument/2006/relationships/hyperlink" Target="https://docs.google.com/presentation/d/1MAqfMF2U59iR-GD2dPdUOeofaI1be1PIRZhcoo-8EPQ/edit?usp=sharing" TargetMode="External"/><Relationship Id="rId51" Type="http://schemas.openxmlformats.org/officeDocument/2006/relationships/hyperlink" Target="https://docs.google.com/presentation/d/1XimZHGOnliv0Cf6xhR6DotJO7qXSzGoZwDsPRg638-Q/edit" TargetMode="External"/><Relationship Id="rId50" Type="http://schemas.openxmlformats.org/officeDocument/2006/relationships/hyperlink" Target="https://docs.google.com/presentation/d/1XimZHGOnliv0Cf6xhR6DotJO7qXSzGoZwDsPRg638-Q/edit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bit.ly/0123g0vsurvey" TargetMode="External"/><Relationship Id="rId11" Type="http://schemas.openxmlformats.org/officeDocument/2006/relationships/hyperlink" Target="https://cofacts.tw/hack" TargetMode="External"/><Relationship Id="rId10" Type="http://schemas.openxmlformats.org/officeDocument/2006/relationships/hyperlink" Target="https://docs.google.com/presentation/d/1qfDwQUt0vmM-aWzRSuETaAkTdCpWufuwZ_wYaMoUwIA/edit" TargetMode="External"/><Relationship Id="rId54" Type="http://schemas.openxmlformats.org/officeDocument/2006/relationships/vmlDrawing" Target="../drawings/vmlDrawing1.vml"/><Relationship Id="rId13" Type="http://schemas.openxmlformats.org/officeDocument/2006/relationships/hyperlink" Target="https://g0v.hackmd.io/TG6CtrxyRdudWawzTXfPiw?view" TargetMode="External"/><Relationship Id="rId12" Type="http://schemas.openxmlformats.org/officeDocument/2006/relationships/hyperlink" Target="https://docs.google.com/presentation/d/1m0OnbiHzJZVhxJ8ebXH63214Lv73NN-DXV3nbl-YbzY/edit" TargetMode="External"/><Relationship Id="rId15" Type="http://schemas.openxmlformats.org/officeDocument/2006/relationships/hyperlink" Target="https://g0v.hackmd.io/8nYqYBChQliFk55hQlnP5Q?view" TargetMode="External"/><Relationship Id="rId14" Type="http://schemas.openxmlformats.org/officeDocument/2006/relationships/hyperlink" Target="https://www.facebook.com/groups/g0v.general/posts/9333292486747074/" TargetMode="External"/><Relationship Id="rId17" Type="http://schemas.openxmlformats.org/officeDocument/2006/relationships/hyperlink" Target="https://docs.google.com/presentation/d/1wJVO6XouesapW9lqI5kAUL694kLwuDzq/edit?usp=sharing&amp;ouid=108684613353986701205&amp;rtpof=true&amp;sd=true" TargetMode="External"/><Relationship Id="rId16" Type="http://schemas.openxmlformats.org/officeDocument/2006/relationships/hyperlink" Target="https://docs.google.com/presentation/d/1Bq5A4hB3ElXDn6GT9ILYvXkPORiTNzXd9JFn9ZV4bHQ/edit?usp=sharing" TargetMode="External"/><Relationship Id="rId19" Type="http://schemas.openxmlformats.org/officeDocument/2006/relationships/hyperlink" Target="https://g0v.hackmd.io/@BarryYu/H1oT2Ozayg" TargetMode="External"/><Relationship Id="rId18" Type="http://schemas.openxmlformats.org/officeDocument/2006/relationships/hyperlink" Target="https://docs.google.com/presentation/d/1wJVO6XouesapW9lqI5kAUL694kLwuDzq/edit?usp=sharing&amp;ouid=10868461335398670120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uadraticvote.radicalxchange.org/vote?user=643e79fb-fb30-4735-a936-a1a5051c5aba" TargetMode="External"/><Relationship Id="rId42" Type="http://schemas.openxmlformats.org/officeDocument/2006/relationships/hyperlink" Target="https://quadraticvote.radicalxchange.org/vote?user=d4b1e64d-752d-44c6-b0cd-7480564b653d" TargetMode="External"/><Relationship Id="rId41" Type="http://schemas.openxmlformats.org/officeDocument/2006/relationships/hyperlink" Target="https://quadraticvote.radicalxchange.org/vote?user=72618ab3-cbf2-4272-8a6c-c3aa5e7bcd4b" TargetMode="External"/><Relationship Id="rId44" Type="http://schemas.openxmlformats.org/officeDocument/2006/relationships/hyperlink" Target="https://quadraticvote.radicalxchange.org/vote?user=495f6019-301c-4320-abdc-36e43641ebc2" TargetMode="External"/><Relationship Id="rId43" Type="http://schemas.openxmlformats.org/officeDocument/2006/relationships/hyperlink" Target="https://quadraticvote.radicalxchange.org/vote?user=25dd7cdd-9455-4268-a0ed-2544335271ba" TargetMode="External"/><Relationship Id="rId46" Type="http://schemas.openxmlformats.org/officeDocument/2006/relationships/hyperlink" Target="https://quadraticvote.radicalxchange.org/vote?user=6e4281ef-1565-47c9-b7d7-a4e52a5740e0" TargetMode="External"/><Relationship Id="rId45" Type="http://schemas.openxmlformats.org/officeDocument/2006/relationships/hyperlink" Target="https://quadraticvote.radicalxchange.org/vote?user=1623df48-21bb-4cec-bacb-a03711157684" TargetMode="External"/><Relationship Id="rId1" Type="http://schemas.openxmlformats.org/officeDocument/2006/relationships/hyperlink" Target="https://quadraticvote.radicalxchange.org/vote?user=9ec2f273-ef8a-4bab-b466-583169c89597" TargetMode="External"/><Relationship Id="rId2" Type="http://schemas.openxmlformats.org/officeDocument/2006/relationships/hyperlink" Target="https://quadraticvote.radicalxchange.org/vote?user=df2f6752-2356-496f-b058-23e670829a0a" TargetMode="External"/><Relationship Id="rId3" Type="http://schemas.openxmlformats.org/officeDocument/2006/relationships/hyperlink" Target="https://quadraticvote.radicalxchange.org/vote?user=a5b0c54d-0736-4a15-92d2-1bc608fa4df8" TargetMode="External"/><Relationship Id="rId4" Type="http://schemas.openxmlformats.org/officeDocument/2006/relationships/hyperlink" Target="https://quadraticvote.radicalxchange.org/vote?user=0e275251-73a5-4d71-a9a9-00046892cb5a" TargetMode="External"/><Relationship Id="rId9" Type="http://schemas.openxmlformats.org/officeDocument/2006/relationships/hyperlink" Target="https://quadraticvote.radicalxchange.org/vote?user=0a96d7cf-56d0-4942-bec8-d19e05218f21" TargetMode="External"/><Relationship Id="rId48" Type="http://schemas.openxmlformats.org/officeDocument/2006/relationships/hyperlink" Target="https://quadraticvote.radicalxchange.org/vote?user=b2ad1fda-7ea2-4e7c-af59-17f297df2b46" TargetMode="External"/><Relationship Id="rId47" Type="http://schemas.openxmlformats.org/officeDocument/2006/relationships/hyperlink" Target="https://quadraticvote.radicalxchange.org/vote?user=059a5cd0-8802-4379-80d3-2559cd7f0cef" TargetMode="External"/><Relationship Id="rId49" Type="http://schemas.openxmlformats.org/officeDocument/2006/relationships/hyperlink" Target="https://quadraticvote.radicalxchange.org/vote?user=4f4f87bb-1f57-4a4a-bd51-1dff7af9bba9" TargetMode="External"/><Relationship Id="rId5" Type="http://schemas.openxmlformats.org/officeDocument/2006/relationships/hyperlink" Target="https://quadraticvote.radicalxchange.org/vote?user=46576d93-4559-4ee1-90ea-3605994f49be" TargetMode="External"/><Relationship Id="rId6" Type="http://schemas.openxmlformats.org/officeDocument/2006/relationships/hyperlink" Target="https://quadraticvote.radicalxchange.org/vote?user=acc89b8a-66d6-4cbc-930b-eb1a037755a8" TargetMode="External"/><Relationship Id="rId7" Type="http://schemas.openxmlformats.org/officeDocument/2006/relationships/hyperlink" Target="https://quadraticvote.radicalxchange.org/vote?user=06c9a7d8-2a06-48fd-adf6-5c72742c395c" TargetMode="External"/><Relationship Id="rId8" Type="http://schemas.openxmlformats.org/officeDocument/2006/relationships/hyperlink" Target="https://quadraticvote.radicalxchange.org/vote?user=02637aac-a7a9-4553-a4c6-88837f5fcfe6" TargetMode="External"/><Relationship Id="rId31" Type="http://schemas.openxmlformats.org/officeDocument/2006/relationships/hyperlink" Target="https://quadraticvote.radicalxchange.org/vote?user=876a0a00-60b7-41ab-a4c1-44c1497247b0" TargetMode="External"/><Relationship Id="rId30" Type="http://schemas.openxmlformats.org/officeDocument/2006/relationships/hyperlink" Target="https://quadraticvote.radicalxchange.org/vote?user=678e0e40-8647-4ae1-a707-4a3c647414dc" TargetMode="External"/><Relationship Id="rId33" Type="http://schemas.openxmlformats.org/officeDocument/2006/relationships/hyperlink" Target="https://quadraticvote.radicalxchange.org/vote?user=cb2110ed-85cc-4dfe-9f88-defbe4acbe4a" TargetMode="External"/><Relationship Id="rId32" Type="http://schemas.openxmlformats.org/officeDocument/2006/relationships/hyperlink" Target="https://quadraticvote.radicalxchange.org/vote?user=9812b8d4-cf05-4f73-921d-6c485afe4ef8" TargetMode="External"/><Relationship Id="rId35" Type="http://schemas.openxmlformats.org/officeDocument/2006/relationships/hyperlink" Target="https://quadraticvote.radicalxchange.org/vote?user=1a12c21e-94b6-4061-8830-b6e6cf013aeb" TargetMode="External"/><Relationship Id="rId34" Type="http://schemas.openxmlformats.org/officeDocument/2006/relationships/hyperlink" Target="https://quadraticvote.radicalxchange.org/vote?user=32130d18-2021-4e8b-8ccf-9af273f5781a" TargetMode="External"/><Relationship Id="rId37" Type="http://schemas.openxmlformats.org/officeDocument/2006/relationships/hyperlink" Target="https://quadraticvote.radicalxchange.org/vote?user=5e572eb1-2c1d-4127-a69e-25dc4a8cec62" TargetMode="External"/><Relationship Id="rId36" Type="http://schemas.openxmlformats.org/officeDocument/2006/relationships/hyperlink" Target="https://quadraticvote.radicalxchange.org/vote?user=197e2aac-8843-4449-a27f-0ab0f0ab9efd" TargetMode="External"/><Relationship Id="rId39" Type="http://schemas.openxmlformats.org/officeDocument/2006/relationships/hyperlink" Target="https://quadraticvote.radicalxchange.org/vote?user=088dcbe2-b908-4fd2-b7ba-119764380a89" TargetMode="External"/><Relationship Id="rId38" Type="http://schemas.openxmlformats.org/officeDocument/2006/relationships/hyperlink" Target="https://quadraticvote.radicalxchange.org/vote?user=f94dc0d3-d430-4782-ac37-932fc472baf3" TargetMode="External"/><Relationship Id="rId20" Type="http://schemas.openxmlformats.org/officeDocument/2006/relationships/hyperlink" Target="https://quadraticvote.radicalxchange.org/vote?user=cf711ac3-3f72-4813-89ff-aa601e01ae8c" TargetMode="External"/><Relationship Id="rId22" Type="http://schemas.openxmlformats.org/officeDocument/2006/relationships/hyperlink" Target="https://quadraticvote.radicalxchange.org/vote?user=5a54ecda-32a6-40ba-9417-7be1be9d4801" TargetMode="External"/><Relationship Id="rId21" Type="http://schemas.openxmlformats.org/officeDocument/2006/relationships/hyperlink" Target="https://quadraticvote.radicalxchange.org/vote?user=9ab5313a-e730-4dda-addb-a535381ecad7" TargetMode="External"/><Relationship Id="rId24" Type="http://schemas.openxmlformats.org/officeDocument/2006/relationships/hyperlink" Target="https://quadraticvote.radicalxchange.org/vote?user=f14d3845-7832-4399-940e-7228f085c798" TargetMode="External"/><Relationship Id="rId23" Type="http://schemas.openxmlformats.org/officeDocument/2006/relationships/hyperlink" Target="https://quadraticvote.radicalxchange.org/vote?user=671cbf48-048e-40ee-8350-a9852941f3ce" TargetMode="External"/><Relationship Id="rId26" Type="http://schemas.openxmlformats.org/officeDocument/2006/relationships/hyperlink" Target="https://quadraticvote.radicalxchange.org/vote?user=f0e701fe-bdf2-4f50-921e-25731c405b26" TargetMode="External"/><Relationship Id="rId25" Type="http://schemas.openxmlformats.org/officeDocument/2006/relationships/hyperlink" Target="https://quadraticvote.radicalxchange.org/vote?user=3e51705a-a8ac-4658-8b30-215668879d62" TargetMode="External"/><Relationship Id="rId28" Type="http://schemas.openxmlformats.org/officeDocument/2006/relationships/hyperlink" Target="https://quadraticvote.radicalxchange.org/vote?user=170763e5-260a-42c2-95bc-13ee0bbbbb17" TargetMode="External"/><Relationship Id="rId27" Type="http://schemas.openxmlformats.org/officeDocument/2006/relationships/hyperlink" Target="https://quadraticvote.radicalxchange.org/vote?user=0336d438-ee7e-4bfb-8f4d-aab41ad488fb" TargetMode="External"/><Relationship Id="rId29" Type="http://schemas.openxmlformats.org/officeDocument/2006/relationships/hyperlink" Target="https://quadraticvote.radicalxchange.org/vote?user=837e2a5f-5cfa-4705-a06e-b5aaab3806f4" TargetMode="External"/><Relationship Id="rId51" Type="http://schemas.openxmlformats.org/officeDocument/2006/relationships/hyperlink" Target="https://quadraticvote.radicalxchange.org/vote?user=fc50938e-d2c8-4aff-be0a-30a8d2df382c" TargetMode="External"/><Relationship Id="rId50" Type="http://schemas.openxmlformats.org/officeDocument/2006/relationships/hyperlink" Target="https://quadraticvote.radicalxchange.org/vote?user=3e925ae8-1337-4019-8f20-af5e50229651" TargetMode="External"/><Relationship Id="rId53" Type="http://schemas.openxmlformats.org/officeDocument/2006/relationships/hyperlink" Target="https://quadraticvote.radicalxchange.org/vote?user=6ca3b475-1b93-4337-b5f6-2c9bb70b6d97" TargetMode="External"/><Relationship Id="rId52" Type="http://schemas.openxmlformats.org/officeDocument/2006/relationships/hyperlink" Target="https://quadraticvote.radicalxchange.org/vote?user=b1dd6950-61d5-4a9e-9b8f-08041e5ff338" TargetMode="External"/><Relationship Id="rId11" Type="http://schemas.openxmlformats.org/officeDocument/2006/relationships/hyperlink" Target="https://quadraticvote.radicalxchange.org/vote?user=1657b082-fa02-4d8f-937d-0676e753227b" TargetMode="External"/><Relationship Id="rId55" Type="http://schemas.openxmlformats.org/officeDocument/2006/relationships/hyperlink" Target="https://quadraticvote.radicalxchange.org/vote?user=24f21d62-56c2-446e-b330-2bded9724cc0" TargetMode="External"/><Relationship Id="rId10" Type="http://schemas.openxmlformats.org/officeDocument/2006/relationships/hyperlink" Target="https://quadraticvote.radicalxchange.org/vote?user=f1d24db2-ac7e-4b14-aa95-ad9debdeb412" TargetMode="External"/><Relationship Id="rId54" Type="http://schemas.openxmlformats.org/officeDocument/2006/relationships/hyperlink" Target="https://quadraticvote.radicalxchange.org/vote?user=6097b428-d317-4ec7-ba54-c2eaa1f3d819" TargetMode="External"/><Relationship Id="rId13" Type="http://schemas.openxmlformats.org/officeDocument/2006/relationships/hyperlink" Target="https://quadraticvote.radicalxchange.org/vote?user=054a6831-fee3-4aa2-a440-0e34681d6878" TargetMode="External"/><Relationship Id="rId57" Type="http://schemas.openxmlformats.org/officeDocument/2006/relationships/hyperlink" Target="https://quadraticvote.radicalxchange.org/vote?user=343877ed-ea0c-43b5-ad97-2ab8e9e8f674" TargetMode="External"/><Relationship Id="rId12" Type="http://schemas.openxmlformats.org/officeDocument/2006/relationships/hyperlink" Target="https://quadraticvote.radicalxchange.org/vote?user=ac654628-214a-4690-8b48-16823d4988ae" TargetMode="External"/><Relationship Id="rId56" Type="http://schemas.openxmlformats.org/officeDocument/2006/relationships/hyperlink" Target="https://quadraticvote.radicalxchange.org/vote?user=6316a516-6cee-4014-8864-a8030bbc04f9" TargetMode="External"/><Relationship Id="rId15" Type="http://schemas.openxmlformats.org/officeDocument/2006/relationships/hyperlink" Target="https://quadraticvote.radicalxchange.org/vote?user=d2da5bcc-6d17-436e-99b5-4b681326f7c3" TargetMode="External"/><Relationship Id="rId14" Type="http://schemas.openxmlformats.org/officeDocument/2006/relationships/hyperlink" Target="https://quadraticvote.radicalxchange.org/vote?user=f41ef8ac-5d98-4661-a681-6eab09c2a1bb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quadraticvote.radicalxchange.org/vote?user=94187cf4-1a0c-4b04-80bb-482225f4344b" TargetMode="External"/><Relationship Id="rId16" Type="http://schemas.openxmlformats.org/officeDocument/2006/relationships/hyperlink" Target="https://quadraticvote.radicalxchange.org/vote?user=7853db00-3d8c-4697-a646-ec334564b822" TargetMode="External"/><Relationship Id="rId19" Type="http://schemas.openxmlformats.org/officeDocument/2006/relationships/hyperlink" Target="https://quadraticvote.radicalxchange.org/vote?user=53a5ba90-cfd6-4bdf-8a89-29f6f743d27a" TargetMode="External"/><Relationship Id="rId18" Type="http://schemas.openxmlformats.org/officeDocument/2006/relationships/hyperlink" Target="https://quadraticvote.radicalxchange.org/vote?user=eefcc8e5-a630-49ea-8d04-f2fa3b3396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15.38"/>
    <col customWidth="1" min="6" max="6" width="8.25"/>
    <col customWidth="1" min="7" max="7" width="13.5"/>
    <col customWidth="1" min="8" max="8" width="19.63"/>
    <col customWidth="1" min="9" max="9" width="37.63"/>
    <col customWidth="1" min="10" max="10" width="12.0"/>
    <col customWidth="1" min="11" max="11" width="36.5"/>
    <col customWidth="1" min="12" max="12" width="28.38"/>
    <col customWidth="1" min="13" max="13" width="17.5"/>
    <col customWidth="1" min="14" max="14" width="21.0"/>
    <col customWidth="1" min="15" max="16" width="22.5"/>
    <col customWidth="1" min="17" max="17" width="15.5"/>
    <col customWidth="1" min="18" max="19" width="18.13"/>
  </cols>
  <sheetData>
    <row r="1" ht="23.25" hidden="1" customHeight="1">
      <c r="A1" s="1"/>
      <c r="P1" s="1"/>
      <c r="Q1" s="2"/>
      <c r="R1" s="2"/>
      <c r="S1" s="2"/>
    </row>
    <row r="2" ht="84.0" customHeight="1">
      <c r="A2" s="3"/>
      <c r="B2" s="4" t="s">
        <v>0</v>
      </c>
      <c r="C2" s="5" t="s">
        <v>1</v>
      </c>
      <c r="D2" s="4" t="s">
        <v>2</v>
      </c>
      <c r="E2" s="4" t="s">
        <v>3</v>
      </c>
      <c r="F2" s="6" t="s">
        <v>4</v>
      </c>
      <c r="G2" s="7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8" t="s">
        <v>17</v>
      </c>
    </row>
    <row r="3" ht="22.5" customHeight="1">
      <c r="A3" s="9" t="s">
        <v>18</v>
      </c>
      <c r="S3" s="10"/>
    </row>
    <row r="4" ht="58.5" customHeight="1">
      <c r="A4" s="11"/>
      <c r="B4" s="12"/>
      <c r="C4" s="13"/>
      <c r="D4" s="14" t="s">
        <v>19</v>
      </c>
      <c r="E4" s="15" t="s">
        <v>20</v>
      </c>
      <c r="F4" s="16"/>
      <c r="G4" s="13"/>
      <c r="H4" s="17"/>
      <c r="I4" s="17"/>
      <c r="J4" s="18"/>
      <c r="K4" s="19"/>
      <c r="L4" s="20"/>
      <c r="M4" s="21"/>
      <c r="N4" s="17"/>
      <c r="O4" s="17"/>
      <c r="P4" s="17"/>
      <c r="Q4" s="17"/>
      <c r="R4" s="22"/>
      <c r="S4" s="23"/>
    </row>
    <row r="5" ht="22.5" customHeight="1">
      <c r="A5" s="9" t="s">
        <v>21</v>
      </c>
      <c r="S5" s="24"/>
    </row>
    <row r="6" ht="22.5" customHeight="1">
      <c r="A6" s="11">
        <v>0.0</v>
      </c>
      <c r="B6" s="12">
        <v>0.4166666666666667</v>
      </c>
      <c r="C6" s="13"/>
      <c r="D6" s="17" t="s">
        <v>22</v>
      </c>
      <c r="E6" s="17" t="s">
        <v>23</v>
      </c>
      <c r="F6" s="16" t="s">
        <v>24</v>
      </c>
      <c r="G6" s="13" t="s">
        <v>25</v>
      </c>
      <c r="H6" s="17"/>
      <c r="I6" s="17" t="s">
        <v>26</v>
      </c>
      <c r="J6" s="18"/>
      <c r="K6" s="19"/>
      <c r="L6" s="25" t="s">
        <v>27</v>
      </c>
      <c r="M6" s="21"/>
      <c r="N6" s="17"/>
      <c r="O6" s="17"/>
      <c r="P6" s="17"/>
      <c r="Q6" s="17"/>
      <c r="R6" s="22"/>
      <c r="S6" s="23"/>
    </row>
    <row r="7" ht="22.5" customHeight="1">
      <c r="A7" s="11">
        <v>0.0</v>
      </c>
      <c r="B7" s="12">
        <v>0.4236111111111111</v>
      </c>
      <c r="C7" s="13"/>
      <c r="D7" s="17" t="s">
        <v>22</v>
      </c>
      <c r="E7" s="17" t="s">
        <v>23</v>
      </c>
      <c r="F7" s="16" t="s">
        <v>24</v>
      </c>
      <c r="G7" s="13" t="s">
        <v>25</v>
      </c>
      <c r="H7" s="17"/>
      <c r="I7" s="17" t="s">
        <v>28</v>
      </c>
      <c r="J7" s="18"/>
      <c r="K7" s="19"/>
      <c r="L7" s="20"/>
      <c r="M7" s="21"/>
      <c r="N7" s="17"/>
      <c r="O7" s="17"/>
      <c r="P7" s="17"/>
      <c r="Q7" s="17"/>
      <c r="R7" s="22"/>
      <c r="S7" s="23"/>
    </row>
    <row r="8" ht="15.0" customHeight="1">
      <c r="A8" s="26" t="s">
        <v>29</v>
      </c>
      <c r="S8" s="26"/>
    </row>
    <row r="9" ht="15.0" customHeight="1">
      <c r="A9" s="27" t="s">
        <v>30</v>
      </c>
      <c r="P9" s="27"/>
      <c r="Q9" s="27"/>
      <c r="R9" s="27"/>
      <c r="S9" s="28"/>
    </row>
    <row r="10" ht="22.5" customHeight="1">
      <c r="A10" s="11">
        <v>1.0</v>
      </c>
      <c r="B10" s="12">
        <v>0.4375</v>
      </c>
      <c r="C10" s="13"/>
      <c r="D10" s="17" t="s">
        <v>22</v>
      </c>
      <c r="E10" s="17" t="s">
        <v>23</v>
      </c>
      <c r="F10" s="16" t="s">
        <v>24</v>
      </c>
      <c r="G10" s="13" t="s">
        <v>31</v>
      </c>
      <c r="H10" s="17" t="s">
        <v>32</v>
      </c>
      <c r="I10" s="17" t="s">
        <v>33</v>
      </c>
      <c r="J10" s="17" t="s">
        <v>34</v>
      </c>
      <c r="K10" s="29" t="s">
        <v>35</v>
      </c>
      <c r="L10" s="19"/>
      <c r="M10" s="30" t="s">
        <v>24</v>
      </c>
      <c r="N10" s="17"/>
      <c r="O10" s="17"/>
      <c r="P10" s="17"/>
      <c r="Q10" s="17"/>
      <c r="R10" s="22"/>
      <c r="S10" s="23" t="str">
        <f t="shared" ref="S10:S26" si="1">"g0v tw hackath66n — 提案 — "&amp;H10&amp;" ／ "&amp;D10&amp;" — 台南黑客松"</f>
        <v>g0v tw hackath66n — 提案 — 零世代資金池 Generation Zero Vestment ／ 揪松團 — 台南黑客松</v>
      </c>
    </row>
    <row r="11" ht="15.0" customHeight="1">
      <c r="A11" s="11">
        <v>2.0</v>
      </c>
      <c r="B11" s="12">
        <v>0.4395833333333333</v>
      </c>
      <c r="C11" s="13"/>
      <c r="D11" s="17" t="s">
        <v>36</v>
      </c>
      <c r="E11" s="17" t="s">
        <v>23</v>
      </c>
      <c r="F11" s="16" t="s">
        <v>24</v>
      </c>
      <c r="G11" s="13" t="s">
        <v>31</v>
      </c>
      <c r="H11" s="17" t="s">
        <v>37</v>
      </c>
      <c r="I11" s="17" t="s">
        <v>37</v>
      </c>
      <c r="J11" s="18" t="s">
        <v>38</v>
      </c>
      <c r="K11" s="25" t="s">
        <v>39</v>
      </c>
      <c r="L11" s="17"/>
      <c r="M11" s="30" t="s">
        <v>24</v>
      </c>
      <c r="N11" s="17" t="s">
        <v>40</v>
      </c>
      <c r="O11" s="18" t="s">
        <v>41</v>
      </c>
      <c r="P11" s="18" t="s">
        <v>42</v>
      </c>
      <c r="Q11" s="17"/>
      <c r="R11" s="22"/>
      <c r="S11" s="23" t="str">
        <f t="shared" si="1"/>
        <v>g0v tw hackath66n — 提案 — 違反勞動法令事業單位（雇主）查詢系統大改造 ／ kiang — 台南黑客松</v>
      </c>
    </row>
    <row r="12" ht="15.0" customHeight="1">
      <c r="A12" s="11">
        <v>3.0</v>
      </c>
      <c r="B12" s="12">
        <v>0.44166666666666665</v>
      </c>
      <c r="C12" s="13"/>
      <c r="D12" s="3" t="s">
        <v>43</v>
      </c>
      <c r="E12" s="3" t="s">
        <v>23</v>
      </c>
      <c r="F12" s="31" t="s">
        <v>24</v>
      </c>
      <c r="G12" s="32" t="s">
        <v>31</v>
      </c>
      <c r="H12" s="3" t="s">
        <v>44</v>
      </c>
      <c r="I12" s="3" t="s">
        <v>44</v>
      </c>
      <c r="J12" s="33" t="s">
        <v>45</v>
      </c>
      <c r="K12" s="34" t="s">
        <v>46</v>
      </c>
      <c r="L12" s="35" t="s">
        <v>47</v>
      </c>
      <c r="M12" s="21"/>
      <c r="N12" s="17"/>
      <c r="O12" s="17"/>
      <c r="P12" s="17"/>
      <c r="Q12" s="17"/>
      <c r="R12" s="22"/>
      <c r="S12" s="23" t="str">
        <f t="shared" si="1"/>
        <v>g0v tw hackath66n — 提案 — 預算資料公開群眾外包 ／ Ronny — 台南黑客松</v>
      </c>
    </row>
    <row r="13" ht="15.0" customHeight="1">
      <c r="A13" s="11">
        <v>4.0</v>
      </c>
      <c r="B13" s="12">
        <v>0.44375</v>
      </c>
      <c r="C13" s="13"/>
      <c r="D13" s="17" t="s">
        <v>48</v>
      </c>
      <c r="E13" s="17" t="s">
        <v>23</v>
      </c>
      <c r="F13" s="16" t="s">
        <v>24</v>
      </c>
      <c r="G13" s="13" t="s">
        <v>24</v>
      </c>
      <c r="H13" s="17" t="s">
        <v>49</v>
      </c>
      <c r="I13" s="17" t="s">
        <v>50</v>
      </c>
      <c r="J13" s="17" t="s">
        <v>45</v>
      </c>
      <c r="K13" s="36" t="s">
        <v>51</v>
      </c>
      <c r="L13" s="29" t="s">
        <v>52</v>
      </c>
      <c r="M13" s="37" t="s">
        <v>24</v>
      </c>
      <c r="N13" s="18" t="s">
        <v>53</v>
      </c>
      <c r="O13" s="18" t="s">
        <v>54</v>
      </c>
      <c r="P13" s="18" t="s">
        <v>55</v>
      </c>
      <c r="S13" s="23" t="str">
        <f t="shared" si="1"/>
        <v>g0v tw hackath66n — 提案 — Wikidata  ／ Allen — 台南黑客松</v>
      </c>
    </row>
    <row r="14" ht="15.0" customHeight="1">
      <c r="A14" s="11">
        <v>5.0</v>
      </c>
      <c r="B14" s="12">
        <v>0.44583333333333336</v>
      </c>
      <c r="C14" s="13"/>
      <c r="D14" s="17" t="s">
        <v>56</v>
      </c>
      <c r="E14" s="17" t="s">
        <v>23</v>
      </c>
      <c r="F14" s="16" t="s">
        <v>24</v>
      </c>
      <c r="G14" s="13" t="s">
        <v>24</v>
      </c>
      <c r="H14" s="17" t="s">
        <v>57</v>
      </c>
      <c r="I14" s="17" t="s">
        <v>58</v>
      </c>
      <c r="J14" s="17" t="s">
        <v>59</v>
      </c>
      <c r="K14" s="25" t="s">
        <v>60</v>
      </c>
      <c r="L14" s="29" t="s">
        <v>61</v>
      </c>
      <c r="M14" s="30" t="s">
        <v>24</v>
      </c>
      <c r="N14" s="17" t="s">
        <v>62</v>
      </c>
      <c r="O14" s="17" t="s">
        <v>63</v>
      </c>
      <c r="P14" s="17" t="s">
        <v>64</v>
      </c>
      <c r="Q14" s="17"/>
      <c r="R14" s="22"/>
      <c r="S14" s="23" t="str">
        <f t="shared" si="1"/>
        <v>g0v tw hackath66n — 提案 — vTaiwan ／ Tofus, Joey — 台南黑客松</v>
      </c>
    </row>
    <row r="15" ht="15.0" customHeight="1">
      <c r="A15" s="11">
        <v>6.0</v>
      </c>
      <c r="B15" s="12">
        <v>0.4479166666666667</v>
      </c>
      <c r="C15" s="13"/>
      <c r="D15" s="17" t="s">
        <v>65</v>
      </c>
      <c r="E15" s="17" t="s">
        <v>23</v>
      </c>
      <c r="F15" s="16"/>
      <c r="G15" s="13" t="s">
        <v>31</v>
      </c>
      <c r="H15" s="17" t="s">
        <v>66</v>
      </c>
      <c r="I15" s="17" t="s">
        <v>67</v>
      </c>
      <c r="J15" s="17" t="s">
        <v>68</v>
      </c>
      <c r="K15" s="17"/>
      <c r="L15" s="25" t="s">
        <v>69</v>
      </c>
      <c r="M15" s="38" t="s">
        <v>24</v>
      </c>
      <c r="N15" s="39" t="s">
        <v>70</v>
      </c>
      <c r="O15" s="17" t="s">
        <v>71</v>
      </c>
      <c r="P15" s="17" t="s">
        <v>72</v>
      </c>
      <c r="Q15" s="17"/>
      <c r="R15" s="22"/>
      <c r="S15" s="23" t="str">
        <f t="shared" si="1"/>
        <v>g0v tw hackath66n — 提案 — HRJust ／ slc — 台南黑客松</v>
      </c>
    </row>
    <row r="16" ht="18.0" customHeight="1">
      <c r="A16" s="11">
        <v>7.0</v>
      </c>
      <c r="B16" s="12">
        <v>0.45</v>
      </c>
      <c r="C16" s="13"/>
      <c r="D16" s="17" t="s">
        <v>73</v>
      </c>
      <c r="E16" s="17" t="s">
        <v>23</v>
      </c>
      <c r="F16" s="16" t="s">
        <v>24</v>
      </c>
      <c r="G16" s="13" t="s">
        <v>31</v>
      </c>
      <c r="H16" s="3" t="s">
        <v>74</v>
      </c>
      <c r="I16" s="3" t="s">
        <v>74</v>
      </c>
      <c r="J16" s="3" t="s">
        <v>75</v>
      </c>
      <c r="K16" s="40" t="s">
        <v>76</v>
      </c>
      <c r="L16" s="40" t="s">
        <v>77</v>
      </c>
      <c r="M16" s="41" t="s">
        <v>78</v>
      </c>
      <c r="N16" s="3" t="s">
        <v>79</v>
      </c>
      <c r="O16" s="3" t="s">
        <v>80</v>
      </c>
      <c r="P16" s="3" t="s">
        <v>81</v>
      </c>
      <c r="Q16" s="17"/>
      <c r="R16" s="22"/>
      <c r="S16" s="23" t="str">
        <f t="shared" si="1"/>
        <v>g0v tw hackath66n — 提案 — Cofacts 真的假的  ／ bil — 台南黑客松</v>
      </c>
    </row>
    <row r="17" ht="15.0" customHeight="1">
      <c r="A17" s="11">
        <v>8.0</v>
      </c>
      <c r="B17" s="12">
        <v>0.45208333333333334</v>
      </c>
      <c r="C17" s="13"/>
      <c r="D17" s="17" t="s">
        <v>82</v>
      </c>
      <c r="E17" s="17" t="s">
        <v>23</v>
      </c>
      <c r="F17" s="16" t="s">
        <v>24</v>
      </c>
      <c r="G17" s="42" t="s">
        <v>83</v>
      </c>
      <c r="H17" s="17" t="s">
        <v>84</v>
      </c>
      <c r="I17" s="17" t="s">
        <v>85</v>
      </c>
      <c r="J17" s="17" t="s">
        <v>86</v>
      </c>
      <c r="K17" s="25" t="s">
        <v>87</v>
      </c>
      <c r="M17" s="30" t="s">
        <v>24</v>
      </c>
      <c r="N17" s="17" t="s">
        <v>88</v>
      </c>
      <c r="O17" s="17" t="s">
        <v>89</v>
      </c>
      <c r="P17" s="43" t="s">
        <v>90</v>
      </c>
      <c r="Q17" s="17"/>
      <c r="R17" s="22"/>
      <c r="S17" s="23" t="str">
        <f t="shared" si="1"/>
        <v>g0v tw hackath66n — 提案 — 廢校預警 🚨 ／ 明錡, chewei — 台南黑客松</v>
      </c>
    </row>
    <row r="18" ht="15.0" customHeight="1">
      <c r="A18" s="11">
        <v>9.0</v>
      </c>
      <c r="B18" s="12">
        <v>0.45416666666666666</v>
      </c>
      <c r="C18" s="13"/>
      <c r="D18" s="17" t="s">
        <v>91</v>
      </c>
      <c r="E18" s="17" t="s">
        <v>23</v>
      </c>
      <c r="F18" s="16" t="s">
        <v>24</v>
      </c>
      <c r="G18" s="13" t="s">
        <v>92</v>
      </c>
      <c r="H18" s="17" t="s">
        <v>93</v>
      </c>
      <c r="I18" s="17" t="s">
        <v>94</v>
      </c>
      <c r="J18" s="17" t="s">
        <v>86</v>
      </c>
      <c r="K18" s="25" t="s">
        <v>95</v>
      </c>
      <c r="L18" s="29" t="s">
        <v>96</v>
      </c>
      <c r="M18" s="30" t="s">
        <v>24</v>
      </c>
      <c r="N18" s="17"/>
      <c r="O18" s="17"/>
      <c r="P18" s="17" t="s">
        <v>97</v>
      </c>
      <c r="Q18" s="17"/>
      <c r="R18" s="22"/>
      <c r="S18" s="23" t="str">
        <f t="shared" si="1"/>
        <v>g0v tw hackath66n — 提案 — g0v 零宇宙護照 Passport to the g0v universe ／ RSChiang — 台南黑客松</v>
      </c>
    </row>
    <row r="19" ht="15.0" customHeight="1">
      <c r="A19" s="11">
        <v>10.0</v>
      </c>
      <c r="B19" s="12">
        <v>0.45625</v>
      </c>
      <c r="C19" s="13"/>
      <c r="D19" s="17" t="s">
        <v>98</v>
      </c>
      <c r="E19" s="17" t="s">
        <v>23</v>
      </c>
      <c r="F19" s="16" t="s">
        <v>24</v>
      </c>
      <c r="G19" s="13" t="s">
        <v>31</v>
      </c>
      <c r="H19" s="17" t="s">
        <v>99</v>
      </c>
      <c r="I19" s="17" t="s">
        <v>99</v>
      </c>
      <c r="J19" s="22"/>
      <c r="K19" s="25" t="s">
        <v>100</v>
      </c>
      <c r="L19" s="25" t="s">
        <v>100</v>
      </c>
      <c r="M19" s="30" t="s">
        <v>24</v>
      </c>
      <c r="N19" s="17" t="s">
        <v>101</v>
      </c>
      <c r="O19" s="17" t="s">
        <v>102</v>
      </c>
      <c r="P19" s="44" t="s">
        <v>103</v>
      </c>
      <c r="Q19" s="17"/>
      <c r="R19" s="22"/>
      <c r="S19" s="23" t="str">
        <f t="shared" si="1"/>
        <v>g0v tw hackath66n — 提案 — 負責任 AI 使用與開發指南 ／ Isabel — 台南黑客松</v>
      </c>
    </row>
    <row r="20" ht="15.0" customHeight="1">
      <c r="A20" s="11">
        <v>11.0</v>
      </c>
      <c r="B20" s="12">
        <v>0.4583333333333333</v>
      </c>
      <c r="C20" s="13"/>
      <c r="D20" s="45" t="s">
        <v>104</v>
      </c>
      <c r="E20" s="17" t="s">
        <v>23</v>
      </c>
      <c r="F20" s="16"/>
      <c r="G20" s="17" t="s">
        <v>105</v>
      </c>
      <c r="H20" s="17" t="s">
        <v>106</v>
      </c>
      <c r="I20" s="17" t="s">
        <v>107</v>
      </c>
      <c r="J20" s="17" t="s">
        <v>104</v>
      </c>
      <c r="K20" s="25" t="s">
        <v>108</v>
      </c>
      <c r="L20" s="29" t="s">
        <v>109</v>
      </c>
      <c r="M20" s="46"/>
      <c r="N20" s="47" t="s">
        <v>110</v>
      </c>
      <c r="O20" s="47" t="s">
        <v>111</v>
      </c>
      <c r="P20" s="47" t="s">
        <v>112</v>
      </c>
      <c r="Q20" s="17"/>
      <c r="R20" s="22"/>
      <c r="S20" s="23" t="str">
        <f t="shared" si="1"/>
        <v>g0v tw hackath66n — 提案 — 零防禦社交工程：
資訊落差定標防詐 ／ Barry — 台南黑客松</v>
      </c>
    </row>
    <row r="21" ht="15.0" customHeight="1">
      <c r="A21" s="11">
        <v>12.0</v>
      </c>
      <c r="B21" s="12">
        <v>0.46041666666666664</v>
      </c>
      <c r="C21" s="13"/>
      <c r="D21" s="11" t="s">
        <v>113</v>
      </c>
      <c r="E21" s="17" t="s">
        <v>23</v>
      </c>
      <c r="F21" s="16" t="s">
        <v>24</v>
      </c>
      <c r="G21" s="48"/>
      <c r="H21" s="49" t="s">
        <v>114</v>
      </c>
      <c r="I21" s="49" t="s">
        <v>115</v>
      </c>
      <c r="J21" s="17"/>
      <c r="K21" s="50" t="s">
        <v>116</v>
      </c>
      <c r="L21" s="25" t="s">
        <v>116</v>
      </c>
      <c r="M21" s="30" t="s">
        <v>24</v>
      </c>
      <c r="N21" s="17" t="s">
        <v>117</v>
      </c>
      <c r="O21" s="17"/>
      <c r="P21" s="17" t="s">
        <v>118</v>
      </c>
      <c r="Q21" s="17"/>
      <c r="R21" s="22"/>
      <c r="S21" s="23" t="str">
        <f t="shared" si="1"/>
        <v>g0v tw hackath66n — 提案 — g0v Slack Archive 訊息迷因產生器 ／ SeanGau、Dong — 台南黑客松</v>
      </c>
    </row>
    <row r="22" ht="15.0" customHeight="1">
      <c r="A22" s="11">
        <v>13.0</v>
      </c>
      <c r="B22" s="12">
        <v>0.4625</v>
      </c>
      <c r="C22" s="13"/>
      <c r="D22" s="51" t="s">
        <v>119</v>
      </c>
      <c r="E22" s="51" t="s">
        <v>23</v>
      </c>
      <c r="F22" s="52"/>
      <c r="G22" s="51"/>
      <c r="H22" s="51" t="s">
        <v>120</v>
      </c>
      <c r="I22" s="33"/>
      <c r="J22" s="33"/>
      <c r="K22" s="35" t="s">
        <v>121</v>
      </c>
      <c r="L22" s="35"/>
      <c r="M22" s="21"/>
      <c r="N22" s="17"/>
      <c r="O22" s="17"/>
      <c r="P22" s="17"/>
      <c r="Q22" s="17"/>
      <c r="R22" s="22"/>
      <c r="S22" s="23" t="str">
        <f t="shared" si="1"/>
        <v>g0v tw hackath66n — 提案 — 開放地方預算資料 從台南開始 ／ 婉玲 — 台南黑客松</v>
      </c>
    </row>
    <row r="23" ht="15.0" customHeight="1">
      <c r="A23" s="11">
        <v>14.0</v>
      </c>
      <c r="B23" s="12">
        <v>0.46458333333333335</v>
      </c>
      <c r="C23" s="13"/>
      <c r="D23" s="17" t="s">
        <v>122</v>
      </c>
      <c r="E23" s="17" t="s">
        <v>23</v>
      </c>
      <c r="F23" s="16" t="s">
        <v>24</v>
      </c>
      <c r="G23" s="17"/>
      <c r="H23" s="17" t="s">
        <v>123</v>
      </c>
      <c r="I23" s="17" t="s">
        <v>124</v>
      </c>
      <c r="J23" s="17" t="s">
        <v>45</v>
      </c>
      <c r="K23" s="25" t="s">
        <v>125</v>
      </c>
      <c r="L23" s="19"/>
      <c r="M23" s="21"/>
      <c r="N23" s="17" t="s">
        <v>126</v>
      </c>
      <c r="O23" s="17"/>
      <c r="P23" s="17" t="s">
        <v>127</v>
      </c>
      <c r="Q23" s="17"/>
      <c r="R23" s="22"/>
      <c r="S23" s="23" t="str">
        <f t="shared" si="1"/>
        <v>g0v tw hackath66n — 提案 — 新藥資訊大公開 ／ kennyluck — 台南黑客松</v>
      </c>
    </row>
    <row r="24" ht="15.0" customHeight="1">
      <c r="A24" s="11">
        <v>15.0</v>
      </c>
      <c r="B24" s="12">
        <v>0.4666666666666667</v>
      </c>
      <c r="C24" s="13"/>
      <c r="D24" s="53" t="s">
        <v>128</v>
      </c>
      <c r="E24" s="17" t="s">
        <v>23</v>
      </c>
      <c r="F24" s="16" t="s">
        <v>24</v>
      </c>
      <c r="G24" s="17"/>
      <c r="H24" s="17" t="s">
        <v>129</v>
      </c>
      <c r="I24" s="17"/>
      <c r="J24" s="54"/>
      <c r="K24" s="29" t="s">
        <v>130</v>
      </c>
      <c r="L24" s="25" t="s">
        <v>131</v>
      </c>
      <c r="M24" s="21"/>
      <c r="N24" s="17"/>
      <c r="O24" s="17"/>
      <c r="P24" s="17"/>
      <c r="Q24" s="17"/>
      <c r="R24" s="22"/>
      <c r="S24" s="23" t="str">
        <f t="shared" si="1"/>
        <v>g0v tw hackath66n — 提案 — Facing the Ocean 面海松 2025 在台灣 ／ chihao — 台南黑客松</v>
      </c>
    </row>
    <row r="25" ht="15.0" customHeight="1">
      <c r="A25" s="17"/>
      <c r="B25" s="12"/>
      <c r="C25" s="13"/>
      <c r="D25" s="55" t="s">
        <v>132</v>
      </c>
      <c r="E25" s="17"/>
      <c r="F25" s="16"/>
      <c r="G25" s="17"/>
      <c r="H25" s="17"/>
      <c r="I25" s="17"/>
      <c r="J25" s="17"/>
      <c r="K25" s="17"/>
      <c r="L25" s="17"/>
      <c r="M25" s="21"/>
      <c r="N25" s="17"/>
      <c r="O25" s="17"/>
      <c r="P25" s="17"/>
      <c r="Q25" s="17"/>
      <c r="R25" s="22"/>
      <c r="S25" s="23" t="str">
        <f t="shared" si="1"/>
        <v>g0v tw hackath66n — 提案 —  ／ == 截止 == — 台南黑客松</v>
      </c>
    </row>
    <row r="26" ht="15.0" customHeight="1">
      <c r="A26" s="17"/>
      <c r="B26" s="12"/>
      <c r="C26" s="13"/>
      <c r="D26" s="17"/>
      <c r="E26" s="17"/>
      <c r="F26" s="16"/>
      <c r="G26" s="17"/>
      <c r="H26" s="17"/>
      <c r="I26" s="17"/>
      <c r="J26" s="17"/>
      <c r="K26" s="17"/>
      <c r="L26" s="17"/>
      <c r="M26" s="21"/>
      <c r="N26" s="17"/>
      <c r="O26" s="17"/>
      <c r="P26" s="17"/>
      <c r="Q26" s="17"/>
      <c r="R26" s="22"/>
      <c r="S26" s="23" t="str">
        <f t="shared" si="1"/>
        <v>g0v tw hackath66n — 提案 —  ／  — 台南黑客松</v>
      </c>
    </row>
    <row r="27" ht="15.0" customHeight="1">
      <c r="A27" s="9" t="s">
        <v>133</v>
      </c>
      <c r="S27" s="10"/>
    </row>
    <row r="28" ht="15.0" customHeight="1">
      <c r="A28" s="17"/>
      <c r="B28" s="12"/>
      <c r="C28" s="13"/>
      <c r="D28" s="56" t="s">
        <v>22</v>
      </c>
      <c r="E28" s="17" t="s">
        <v>23</v>
      </c>
      <c r="F28" s="16" t="s">
        <v>24</v>
      </c>
      <c r="G28" s="17"/>
      <c r="H28" s="17"/>
      <c r="I28" s="17"/>
      <c r="J28" s="17"/>
      <c r="K28" s="17"/>
      <c r="L28" s="17"/>
      <c r="M28" s="21"/>
      <c r="N28" s="17"/>
      <c r="O28" s="17"/>
      <c r="P28" s="17"/>
      <c r="Q28" s="17"/>
      <c r="R28" s="22"/>
      <c r="S28" s="22"/>
    </row>
    <row r="29" ht="15.0" customHeight="1">
      <c r="A29" s="17"/>
      <c r="B29" s="12"/>
      <c r="C29" s="13"/>
      <c r="D29" s="17"/>
      <c r="E29" s="17"/>
      <c r="F29" s="16"/>
      <c r="G29" s="17"/>
      <c r="H29" s="17"/>
      <c r="I29" s="17"/>
      <c r="J29" s="17"/>
      <c r="K29" s="17"/>
      <c r="L29" s="17"/>
      <c r="M29" s="21"/>
      <c r="N29" s="17"/>
      <c r="O29" s="17"/>
      <c r="P29" s="17"/>
      <c r="Q29" s="17"/>
      <c r="R29" s="22"/>
      <c r="S29" s="22"/>
    </row>
    <row r="30" ht="15.0" customHeight="1">
      <c r="A30" s="26" t="s">
        <v>134</v>
      </c>
      <c r="S30" s="57"/>
    </row>
    <row r="31" ht="15.0" customHeight="1">
      <c r="A31" s="17"/>
      <c r="B31" s="13"/>
      <c r="C31" s="13"/>
      <c r="D31" s="56" t="s">
        <v>135</v>
      </c>
      <c r="E31" s="15" t="s">
        <v>136</v>
      </c>
      <c r="F31" s="16"/>
      <c r="G31" s="17"/>
      <c r="H31" s="17"/>
      <c r="I31" s="17"/>
      <c r="J31" s="17"/>
      <c r="K31" s="17"/>
      <c r="L31" s="17"/>
      <c r="M31" s="21"/>
      <c r="N31" s="17"/>
      <c r="O31" s="17"/>
      <c r="P31" s="17"/>
      <c r="Q31" s="17"/>
      <c r="R31" s="22"/>
      <c r="S31" s="22"/>
    </row>
    <row r="32" ht="15.0" customHeight="1">
      <c r="A32" s="17"/>
      <c r="B32" s="12"/>
      <c r="C32" s="13"/>
      <c r="D32" s="56" t="s">
        <v>137</v>
      </c>
      <c r="E32" s="15" t="s">
        <v>138</v>
      </c>
      <c r="F32" s="16"/>
      <c r="G32" s="17"/>
      <c r="H32" s="17"/>
      <c r="I32" s="17"/>
      <c r="J32" s="17"/>
      <c r="K32" s="17"/>
      <c r="L32" s="17"/>
      <c r="M32" s="21"/>
      <c r="N32" s="17"/>
      <c r="O32" s="17"/>
      <c r="P32" s="17"/>
      <c r="Q32" s="17"/>
      <c r="R32" s="22"/>
      <c r="S32" s="22"/>
    </row>
    <row r="33" ht="15.0" customHeight="1">
      <c r="A33" s="17"/>
      <c r="B33" s="12"/>
      <c r="C33" s="13"/>
      <c r="D33" s="56"/>
      <c r="E33" s="17"/>
      <c r="F33" s="16"/>
      <c r="G33" s="17"/>
      <c r="H33" s="17"/>
      <c r="I33" s="17"/>
      <c r="J33" s="17"/>
      <c r="K33" s="17"/>
      <c r="L33" s="17"/>
      <c r="M33" s="21"/>
      <c r="N33" s="17"/>
      <c r="O33" s="17"/>
      <c r="P33" s="17"/>
      <c r="Q33" s="17"/>
      <c r="R33" s="22"/>
      <c r="S33" s="22"/>
    </row>
    <row r="34" ht="15.0" customHeight="1">
      <c r="A34" s="17"/>
      <c r="B34" s="12"/>
      <c r="C34" s="13"/>
      <c r="D34" s="17"/>
      <c r="E34" s="17"/>
      <c r="F34" s="16"/>
      <c r="G34" s="17"/>
      <c r="H34" s="17"/>
      <c r="I34" s="17"/>
      <c r="J34" s="17"/>
      <c r="K34" s="17"/>
      <c r="L34" s="17"/>
      <c r="M34" s="21"/>
      <c r="N34" s="17"/>
      <c r="O34" s="17"/>
      <c r="P34" s="17"/>
      <c r="Q34" s="17"/>
      <c r="R34" s="22"/>
      <c r="S34" s="22"/>
    </row>
    <row r="35" ht="15.0" customHeight="1">
      <c r="A35" s="26" t="s">
        <v>139</v>
      </c>
      <c r="S35" s="57"/>
    </row>
    <row r="36" ht="15.0" customHeight="1">
      <c r="A36" s="17"/>
      <c r="B36" s="12"/>
      <c r="C36" s="13"/>
      <c r="D36" s="17"/>
      <c r="E36" s="17"/>
      <c r="F36" s="16"/>
      <c r="G36" s="17"/>
      <c r="H36" s="17"/>
      <c r="I36" s="17"/>
      <c r="J36" s="17"/>
      <c r="K36" s="17"/>
      <c r="L36" s="17"/>
      <c r="M36" s="21"/>
      <c r="N36" s="17"/>
      <c r="O36" s="17"/>
      <c r="P36" s="17"/>
      <c r="Q36" s="17"/>
      <c r="R36" s="22"/>
      <c r="S36" s="22"/>
    </row>
    <row r="37" ht="15.0" customHeight="1">
      <c r="A37" s="26" t="s">
        <v>140</v>
      </c>
      <c r="S37" s="57"/>
    </row>
    <row r="38" ht="15.0" customHeight="1">
      <c r="A38" s="17"/>
      <c r="B38" s="12"/>
      <c r="C38" s="13"/>
      <c r="D38" s="58" t="s">
        <v>141</v>
      </c>
      <c r="E38" s="15" t="s">
        <v>142</v>
      </c>
      <c r="F38" s="16"/>
      <c r="G38" s="17"/>
      <c r="H38" s="17"/>
      <c r="I38" s="17"/>
      <c r="J38" s="17"/>
      <c r="K38" s="17"/>
      <c r="L38" s="17"/>
      <c r="M38" s="21"/>
      <c r="N38" s="17"/>
      <c r="O38" s="17"/>
      <c r="P38" s="17"/>
      <c r="Q38" s="17"/>
      <c r="R38" s="22"/>
      <c r="S38" s="22"/>
    </row>
    <row r="39" ht="15.0" customHeight="1">
      <c r="A39" s="17"/>
      <c r="B39" s="12"/>
      <c r="C39" s="13"/>
      <c r="D39" s="17"/>
      <c r="E39" s="59"/>
      <c r="F39" s="16"/>
      <c r="G39" s="17"/>
      <c r="H39" s="17"/>
      <c r="I39" s="17"/>
      <c r="J39" s="17"/>
      <c r="K39" s="17"/>
      <c r="L39" s="17"/>
      <c r="M39" s="21"/>
      <c r="N39" s="17"/>
      <c r="O39" s="17"/>
      <c r="P39" s="17"/>
      <c r="Q39" s="17"/>
      <c r="R39" s="22"/>
      <c r="S39" s="22"/>
    </row>
    <row r="40" ht="15.0" customHeight="1">
      <c r="A40" s="26" t="s">
        <v>143</v>
      </c>
      <c r="S40" s="57"/>
    </row>
    <row r="41" ht="15.0" customHeight="1">
      <c r="A41" s="60" t="s">
        <v>144</v>
      </c>
      <c r="B41" s="60" t="s">
        <v>145</v>
      </c>
      <c r="C41" s="61" t="s">
        <v>1</v>
      </c>
      <c r="D41" s="61" t="s">
        <v>2</v>
      </c>
      <c r="E41" s="61" t="s">
        <v>3</v>
      </c>
      <c r="F41" s="62" t="s">
        <v>146</v>
      </c>
      <c r="G41" s="61" t="s">
        <v>25</v>
      </c>
      <c r="H41" s="61" t="s">
        <v>6</v>
      </c>
      <c r="I41" s="61" t="s">
        <v>7</v>
      </c>
      <c r="J41" s="61" t="s">
        <v>8</v>
      </c>
      <c r="K41" s="61" t="s">
        <v>9</v>
      </c>
      <c r="L41" s="61" t="s">
        <v>147</v>
      </c>
      <c r="M41" s="61" t="s">
        <v>11</v>
      </c>
      <c r="N41" s="61" t="s">
        <v>148</v>
      </c>
      <c r="O41" s="61" t="s">
        <v>149</v>
      </c>
      <c r="P41" s="61" t="s">
        <v>150</v>
      </c>
      <c r="Q41" s="63"/>
      <c r="R41" s="63"/>
      <c r="S41" s="23" t="str">
        <f t="shared" ref="S41:S46" si="2">"g0v tw hackath66n — 中場短講 — "&amp;H41&amp;" ／ "&amp;D41&amp;" — 台南黑客松"</f>
        <v>g0v tw hackath66n — 中場短講 — 專案名稱
Project Name ／ 發表者
Presenter — 台南黑客松</v>
      </c>
    </row>
    <row r="42" ht="15.0" customHeight="1">
      <c r="A42" s="64">
        <v>1.0</v>
      </c>
      <c r="B42" s="12">
        <v>0.6041666666666666</v>
      </c>
      <c r="C42" s="13"/>
      <c r="D42" s="65" t="s">
        <v>151</v>
      </c>
      <c r="E42" s="17" t="s">
        <v>23</v>
      </c>
      <c r="F42" s="16" t="s">
        <v>24</v>
      </c>
      <c r="G42" s="61" t="s">
        <v>25</v>
      </c>
      <c r="H42" s="17" t="s">
        <v>152</v>
      </c>
      <c r="I42" s="17" t="s">
        <v>153</v>
      </c>
      <c r="J42" s="17" t="s">
        <v>154</v>
      </c>
      <c r="K42" s="25" t="s">
        <v>155</v>
      </c>
      <c r="L42" s="66" t="s">
        <v>156</v>
      </c>
      <c r="M42" s="13" t="s">
        <v>24</v>
      </c>
      <c r="N42" s="17" t="s">
        <v>157</v>
      </c>
      <c r="O42" s="17" t="s">
        <v>158</v>
      </c>
      <c r="P42" s="17" t="s">
        <v>159</v>
      </c>
      <c r="Q42" s="45"/>
      <c r="R42" s="67"/>
      <c r="S42" s="23" t="str">
        <f t="shared" si="2"/>
        <v>g0v tw hackath66n — 中場短講 — 原本在做 vTaiwan 反而卻做出了焦慮戳戳樂 ／ Tofus — 台南黑客松</v>
      </c>
    </row>
    <row r="43" ht="15.0" customHeight="1">
      <c r="A43" s="64">
        <v>2.0</v>
      </c>
      <c r="B43" s="12">
        <v>0.6111111111111112</v>
      </c>
      <c r="C43" s="13"/>
      <c r="D43" s="45" t="s">
        <v>43</v>
      </c>
      <c r="E43" s="17" t="s">
        <v>23</v>
      </c>
      <c r="F43" s="16" t="s">
        <v>24</v>
      </c>
      <c r="G43" s="61" t="s">
        <v>25</v>
      </c>
      <c r="H43" s="45" t="s">
        <v>160</v>
      </c>
      <c r="I43" s="45" t="s">
        <v>160</v>
      </c>
      <c r="J43" s="17" t="s">
        <v>154</v>
      </c>
      <c r="K43" s="68" t="s">
        <v>161</v>
      </c>
      <c r="L43" s="69" t="s">
        <v>162</v>
      </c>
      <c r="M43" s="45"/>
      <c r="N43" s="45"/>
      <c r="O43" s="17"/>
      <c r="P43" s="17"/>
      <c r="Q43" s="45"/>
      <c r="R43" s="67"/>
      <c r="S43" s="23" t="str">
        <f t="shared" si="2"/>
        <v>g0v tw hackath66n — 中場短講 — LawTrace 讓你查詢修法歷程 ／ Ronny — 台南黑客松</v>
      </c>
    </row>
    <row r="44" ht="15.0" customHeight="1">
      <c r="A44" s="64">
        <v>3.0</v>
      </c>
      <c r="B44" s="12">
        <v>0.6180555555555556</v>
      </c>
      <c r="C44" s="13"/>
      <c r="D44" s="45" t="s">
        <v>104</v>
      </c>
      <c r="E44" s="17" t="s">
        <v>23</v>
      </c>
      <c r="F44" s="16"/>
      <c r="G44" s="61" t="s">
        <v>25</v>
      </c>
      <c r="H44" s="17" t="s">
        <v>163</v>
      </c>
      <c r="I44" s="45" t="s">
        <v>164</v>
      </c>
      <c r="J44" s="17" t="s">
        <v>165</v>
      </c>
      <c r="K44" s="25" t="s">
        <v>108</v>
      </c>
      <c r="L44" s="70" t="s">
        <v>166</v>
      </c>
      <c r="M44" s="45"/>
      <c r="N44" s="45" t="s">
        <v>167</v>
      </c>
      <c r="O44" s="17" t="s">
        <v>168</v>
      </c>
      <c r="P44" s="29" t="s">
        <v>169</v>
      </c>
      <c r="Q44" s="45"/>
      <c r="R44" s="67"/>
      <c r="S44" s="23" t="str">
        <f t="shared" si="2"/>
        <v>g0v tw hackath66n — 中場短講 — 零防禦社交工程：
改善資訊落差防詐社交 ／ Barry — 台南黑客松</v>
      </c>
    </row>
    <row r="45" ht="15.0" customHeight="1">
      <c r="A45" s="71">
        <v>4.0</v>
      </c>
      <c r="B45" s="12">
        <v>0.625</v>
      </c>
      <c r="C45" s="13"/>
      <c r="D45" s="17" t="s">
        <v>170</v>
      </c>
      <c r="E45" s="17" t="s">
        <v>23</v>
      </c>
      <c r="F45" s="16" t="s">
        <v>24</v>
      </c>
      <c r="G45" s="61" t="s">
        <v>25</v>
      </c>
      <c r="H45" s="17" t="s">
        <v>171</v>
      </c>
      <c r="I45" s="17" t="s">
        <v>172</v>
      </c>
      <c r="J45" s="17" t="s">
        <v>45</v>
      </c>
      <c r="K45" s="25" t="s">
        <v>173</v>
      </c>
      <c r="L45" s="72" t="s">
        <v>173</v>
      </c>
      <c r="M45" s="13" t="s">
        <v>24</v>
      </c>
      <c r="N45" s="17" t="s">
        <v>174</v>
      </c>
      <c r="O45" s="17" t="s">
        <v>171</v>
      </c>
      <c r="P45" s="17" t="s">
        <v>170</v>
      </c>
      <c r="Q45" s="18"/>
      <c r="S45" s="23" t="str">
        <f t="shared" si="2"/>
        <v>g0v tw hackath66n — 中場短講 — 無 ／ Teemo — 台南黑客松</v>
      </c>
    </row>
    <row r="46" ht="15.0" customHeight="1">
      <c r="A46" s="71">
        <v>5.0</v>
      </c>
      <c r="B46" s="12">
        <v>0.6319444444444444</v>
      </c>
      <c r="C46" s="13"/>
      <c r="D46" s="17" t="s">
        <v>175</v>
      </c>
      <c r="E46" s="17" t="s">
        <v>23</v>
      </c>
      <c r="F46" s="16" t="s">
        <v>24</v>
      </c>
      <c r="G46" s="61" t="s">
        <v>25</v>
      </c>
      <c r="H46" s="17" t="s">
        <v>176</v>
      </c>
      <c r="I46" s="17" t="s">
        <v>177</v>
      </c>
      <c r="J46" s="17" t="s">
        <v>154</v>
      </c>
      <c r="K46" s="25" t="s">
        <v>178</v>
      </c>
      <c r="L46" s="73" t="s">
        <v>179</v>
      </c>
      <c r="M46" s="18"/>
      <c r="N46" s="18"/>
      <c r="O46" s="18"/>
      <c r="P46" s="18" t="s">
        <v>180</v>
      </c>
      <c r="Q46" s="18"/>
      <c r="S46" s="23" t="str">
        <f t="shared" si="2"/>
        <v>g0v tw hackath66n — 中場短講 — Meshtastic 數位韌性 ／ 荊輔翔 — 台南黑客松</v>
      </c>
    </row>
    <row r="47" ht="15.0" customHeight="1">
      <c r="A47" s="74"/>
      <c r="B47" s="75"/>
      <c r="C47" s="76"/>
      <c r="D47" s="77" t="s">
        <v>132</v>
      </c>
      <c r="E47" s="75"/>
      <c r="F47" s="76"/>
      <c r="G47" s="78"/>
      <c r="H47" s="78"/>
      <c r="I47" s="78"/>
      <c r="J47" s="74"/>
      <c r="K47" s="74"/>
      <c r="L47" s="74"/>
      <c r="M47" s="74"/>
      <c r="N47" s="74"/>
      <c r="O47" s="74"/>
      <c r="P47" s="74"/>
      <c r="Q47" s="78"/>
      <c r="R47" s="74"/>
      <c r="S47" s="74"/>
    </row>
    <row r="48" ht="15.0" customHeight="1">
      <c r="A48" s="22"/>
      <c r="B48" s="79"/>
      <c r="C48" s="79"/>
      <c r="D48" s="22"/>
      <c r="E48" s="22"/>
      <c r="F48" s="80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ht="15.0" customHeight="1">
      <c r="A49" s="22"/>
      <c r="B49" s="79"/>
      <c r="C49" s="79"/>
      <c r="D49" s="22"/>
      <c r="E49" s="22"/>
      <c r="F49" s="80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ht="15.0" customHeight="1">
      <c r="A50" s="26" t="s">
        <v>181</v>
      </c>
      <c r="S50" s="57"/>
    </row>
    <row r="51" ht="15.0" customHeight="1">
      <c r="A51" s="81">
        <v>1.0</v>
      </c>
      <c r="B51" s="82">
        <v>0.6666666666666666</v>
      </c>
      <c r="C51" s="13"/>
      <c r="D51" s="17" t="s">
        <v>22</v>
      </c>
      <c r="E51" s="17" t="s">
        <v>23</v>
      </c>
      <c r="F51" s="16" t="s">
        <v>24</v>
      </c>
      <c r="G51" s="61" t="s">
        <v>25</v>
      </c>
      <c r="H51" s="17" t="s">
        <v>32</v>
      </c>
      <c r="I51" s="17" t="s">
        <v>182</v>
      </c>
      <c r="J51" s="17" t="s">
        <v>34</v>
      </c>
      <c r="K51" s="29" t="s">
        <v>35</v>
      </c>
      <c r="L51" s="58"/>
      <c r="M51" s="13" t="s">
        <v>24</v>
      </c>
      <c r="N51" s="17"/>
      <c r="O51" s="17"/>
      <c r="P51" s="17"/>
      <c r="Q51" s="17"/>
      <c r="R51" s="22"/>
      <c r="S51" s="23" t="str">
        <f t="shared" ref="S51:S63" si="3">"g0v tw hackath66n — 成果發表 — "&amp;H51&amp;" ／ "&amp;D51&amp;" — 台南黑客松"</f>
        <v>g0v tw hackath66n — 成果發表 — 零世代資金池 Generation Zero Vestment ／ 揪松團 — 台南黑客松</v>
      </c>
    </row>
    <row r="52" ht="15.0" customHeight="1">
      <c r="A52" s="81">
        <v>2.0</v>
      </c>
      <c r="B52" s="82">
        <v>0.6701388888888888</v>
      </c>
      <c r="C52" s="13"/>
      <c r="D52" s="17" t="s">
        <v>183</v>
      </c>
      <c r="E52" s="17" t="s">
        <v>23</v>
      </c>
      <c r="F52" s="16" t="s">
        <v>24</v>
      </c>
      <c r="G52" s="83" t="s">
        <v>31</v>
      </c>
      <c r="H52" s="18" t="s">
        <v>184</v>
      </c>
      <c r="I52" s="18" t="s">
        <v>185</v>
      </c>
      <c r="J52" s="17" t="s">
        <v>186</v>
      </c>
      <c r="K52" s="70" t="s">
        <v>187</v>
      </c>
      <c r="L52" s="50" t="s">
        <v>187</v>
      </c>
      <c r="M52" s="17"/>
      <c r="N52" s="17" t="s">
        <v>188</v>
      </c>
      <c r="O52" s="17" t="s">
        <v>171</v>
      </c>
      <c r="P52" s="17" t="s">
        <v>189</v>
      </c>
      <c r="Q52" s="17"/>
      <c r="R52" s="22"/>
      <c r="S52" s="23" t="str">
        <f t="shared" si="3"/>
        <v>g0v tw hackath66n — 成果發表 — TNFSH Class Table ／ Sky Wind — 台南黑客松</v>
      </c>
    </row>
    <row r="53" ht="15.0" customHeight="1">
      <c r="A53" s="81">
        <v>3.0</v>
      </c>
      <c r="B53" s="82">
        <v>0.6736111111111112</v>
      </c>
      <c r="C53" s="13"/>
      <c r="D53" s="17" t="s">
        <v>36</v>
      </c>
      <c r="E53" s="17" t="s">
        <v>23</v>
      </c>
      <c r="F53" s="16" t="s">
        <v>24</v>
      </c>
      <c r="G53" s="61" t="s">
        <v>31</v>
      </c>
      <c r="H53" s="17" t="s">
        <v>37</v>
      </c>
      <c r="I53" s="17" t="s">
        <v>37</v>
      </c>
      <c r="J53" s="18" t="s">
        <v>190</v>
      </c>
      <c r="K53" s="69" t="s">
        <v>39</v>
      </c>
      <c r="L53" s="70" t="s">
        <v>191</v>
      </c>
      <c r="M53" s="17" t="s">
        <v>24</v>
      </c>
      <c r="N53" s="17"/>
      <c r="O53" s="17" t="s">
        <v>192</v>
      </c>
      <c r="P53" s="17" t="s">
        <v>42</v>
      </c>
      <c r="Q53" s="17"/>
      <c r="R53" s="17"/>
      <c r="S53" s="23" t="str">
        <f t="shared" si="3"/>
        <v>g0v tw hackath66n — 成果發表 — 違反勞動法令事業單位（雇主）查詢系統大改造 ／ kiang — 台南黑客松</v>
      </c>
    </row>
    <row r="54" ht="15.0" customHeight="1">
      <c r="A54" s="81">
        <v>4.0</v>
      </c>
      <c r="B54" s="82">
        <v>0.6770833333333334</v>
      </c>
      <c r="C54" s="13"/>
      <c r="D54" s="17" t="s">
        <v>104</v>
      </c>
      <c r="E54" s="17"/>
      <c r="F54" s="16"/>
      <c r="G54" s="61" t="s">
        <v>25</v>
      </c>
      <c r="H54" s="84"/>
      <c r="I54" s="84"/>
      <c r="J54" s="17"/>
      <c r="K54" s="85"/>
      <c r="L54" s="17"/>
      <c r="M54" s="17"/>
      <c r="N54" s="17"/>
      <c r="O54" s="22"/>
      <c r="P54" s="22"/>
      <c r="Q54" s="17"/>
      <c r="R54" s="17"/>
      <c r="S54" s="23" t="str">
        <f t="shared" si="3"/>
        <v>g0v tw hackath66n — 成果發表 —  ／ Barry — 台南黑客松</v>
      </c>
    </row>
    <row r="55" ht="15.0" customHeight="1">
      <c r="A55" s="81">
        <v>5.0</v>
      </c>
      <c r="B55" s="82">
        <v>0.6805555555555556</v>
      </c>
      <c r="C55" s="13"/>
      <c r="D55" s="17" t="s">
        <v>193</v>
      </c>
      <c r="E55" s="17" t="s">
        <v>23</v>
      </c>
      <c r="F55" s="16" t="s">
        <v>24</v>
      </c>
      <c r="G55" s="61" t="s">
        <v>31</v>
      </c>
      <c r="H55" s="86" t="s">
        <v>74</v>
      </c>
      <c r="I55" s="86" t="s">
        <v>74</v>
      </c>
      <c r="J55" s="86" t="s">
        <v>75</v>
      </c>
      <c r="K55" s="69" t="s">
        <v>76</v>
      </c>
      <c r="L55" s="18" t="s">
        <v>77</v>
      </c>
      <c r="M55" s="86" t="s">
        <v>78</v>
      </c>
      <c r="N55" s="86" t="s">
        <v>79</v>
      </c>
      <c r="O55" s="86" t="s">
        <v>80</v>
      </c>
      <c r="P55" s="86" t="s">
        <v>81</v>
      </c>
      <c r="Q55" s="17"/>
      <c r="R55" s="22"/>
      <c r="S55" s="23" t="str">
        <f t="shared" si="3"/>
        <v>g0v tw hackath66n — 成果發表 — Cofacts 真的假的  ／ bil, 喬閔 — 台南黑客松</v>
      </c>
    </row>
    <row r="56" ht="15.0" customHeight="1">
      <c r="A56" s="81">
        <v>6.0</v>
      </c>
      <c r="B56" s="82">
        <v>0.6840277777777778</v>
      </c>
      <c r="C56" s="13"/>
      <c r="D56" s="17" t="s">
        <v>48</v>
      </c>
      <c r="E56" s="17" t="s">
        <v>23</v>
      </c>
      <c r="F56" s="16" t="s">
        <v>24</v>
      </c>
      <c r="G56" s="61" t="s">
        <v>24</v>
      </c>
      <c r="H56" s="18" t="s">
        <v>194</v>
      </c>
      <c r="I56" s="18" t="s">
        <v>195</v>
      </c>
      <c r="J56" s="18" t="s">
        <v>45</v>
      </c>
      <c r="L56" s="69" t="s">
        <v>196</v>
      </c>
      <c r="M56" s="18" t="s">
        <v>24</v>
      </c>
      <c r="N56" s="18" t="s">
        <v>197</v>
      </c>
      <c r="O56" s="18" t="s">
        <v>198</v>
      </c>
      <c r="P56" s="18" t="s">
        <v>199</v>
      </c>
      <c r="Q56" s="17"/>
      <c r="R56" s="22"/>
      <c r="S56" s="23" t="str">
        <f t="shared" si="3"/>
        <v>g0v tw hackath66n — 成果發表 — Wikidata ／ Allen — 台南黑客松</v>
      </c>
    </row>
    <row r="57" ht="15.0" customHeight="1">
      <c r="A57" s="81">
        <v>7.0</v>
      </c>
      <c r="B57" s="82">
        <v>0.6875</v>
      </c>
      <c r="C57" s="13"/>
      <c r="D57" s="17" t="s">
        <v>200</v>
      </c>
      <c r="E57" s="17" t="s">
        <v>23</v>
      </c>
      <c r="F57" s="16" t="s">
        <v>24</v>
      </c>
      <c r="G57" s="61" t="s">
        <v>25</v>
      </c>
      <c r="H57" s="18" t="s">
        <v>201</v>
      </c>
      <c r="I57" s="17" t="s">
        <v>85</v>
      </c>
      <c r="J57" s="17" t="s">
        <v>34</v>
      </c>
      <c r="K57" s="70" t="s">
        <v>87</v>
      </c>
      <c r="L57" s="18"/>
      <c r="M57" s="18"/>
      <c r="N57" s="18"/>
      <c r="O57" s="18"/>
      <c r="P57" s="18"/>
      <c r="Q57" s="17"/>
      <c r="R57" s="22"/>
      <c r="S57" s="23" t="str">
        <f t="shared" si="3"/>
        <v>g0v tw hackath66n — 成果發表 — 教育沙漠化 🚨 廢校預警  ／ chewei, 明錡, yellowsoar — 台南黑客松</v>
      </c>
    </row>
    <row r="58" ht="15.0" customHeight="1">
      <c r="A58" s="17">
        <v>8.0</v>
      </c>
      <c r="B58" s="82">
        <v>0.6909722222222222</v>
      </c>
      <c r="C58" s="13"/>
      <c r="D58" s="17" t="s">
        <v>151</v>
      </c>
      <c r="E58" s="17" t="s">
        <v>23</v>
      </c>
      <c r="F58" s="16" t="s">
        <v>24</v>
      </c>
      <c r="G58" s="61" t="s">
        <v>25</v>
      </c>
      <c r="H58" s="18" t="s">
        <v>57</v>
      </c>
      <c r="I58" s="18" t="s">
        <v>202</v>
      </c>
      <c r="J58" s="18"/>
      <c r="K58" s="18"/>
      <c r="L58" s="18"/>
      <c r="M58" s="13" t="s">
        <v>24</v>
      </c>
      <c r="N58" s="18"/>
      <c r="O58" s="18"/>
      <c r="P58" s="18"/>
      <c r="Q58" s="17"/>
      <c r="R58" s="22"/>
      <c r="S58" s="23" t="str">
        <f t="shared" si="3"/>
        <v>g0v tw hackath66n — 成果發表 — vTaiwan ／ Tofus — 台南黑客松</v>
      </c>
    </row>
    <row r="59" ht="15.0" customHeight="1">
      <c r="A59" s="17">
        <v>9.0</v>
      </c>
      <c r="B59" s="82">
        <v>0.6944444444444444</v>
      </c>
      <c r="C59" s="13"/>
      <c r="D59" s="17" t="s">
        <v>128</v>
      </c>
      <c r="E59" s="17" t="s">
        <v>23</v>
      </c>
      <c r="F59" s="16" t="s">
        <v>24</v>
      </c>
      <c r="G59" s="61" t="s">
        <v>25</v>
      </c>
      <c r="H59" s="17" t="s">
        <v>129</v>
      </c>
      <c r="I59" s="17" t="s">
        <v>203</v>
      </c>
      <c r="J59" s="54"/>
      <c r="K59" s="29" t="s">
        <v>130</v>
      </c>
      <c r="L59" s="25" t="s">
        <v>131</v>
      </c>
      <c r="M59" s="18"/>
      <c r="N59" s="18"/>
      <c r="O59" s="18"/>
      <c r="P59" s="18"/>
      <c r="Q59" s="17"/>
      <c r="R59" s="22"/>
      <c r="S59" s="23" t="str">
        <f t="shared" si="3"/>
        <v>g0v tw hackath66n — 成果發表 — Facing the Ocean 面海松 2025 在台灣 ／ chihao — 台南黑客松</v>
      </c>
    </row>
    <row r="60" ht="15.0" customHeight="1">
      <c r="A60" s="17">
        <v>10.0</v>
      </c>
      <c r="B60" s="82">
        <v>0.6979166666666666</v>
      </c>
      <c r="C60" s="13"/>
      <c r="D60" s="17" t="s">
        <v>204</v>
      </c>
      <c r="E60" s="17" t="s">
        <v>23</v>
      </c>
      <c r="F60" s="16" t="s">
        <v>24</v>
      </c>
      <c r="G60" s="61" t="s">
        <v>25</v>
      </c>
      <c r="H60" s="17" t="s">
        <v>99</v>
      </c>
      <c r="I60" s="17" t="s">
        <v>99</v>
      </c>
      <c r="J60" s="18"/>
      <c r="K60" s="70" t="s">
        <v>205</v>
      </c>
      <c r="L60" s="70" t="s">
        <v>205</v>
      </c>
      <c r="M60" s="18"/>
      <c r="N60" s="18"/>
      <c r="O60" s="18"/>
      <c r="P60" s="18"/>
      <c r="Q60" s="17"/>
      <c r="R60" s="22"/>
      <c r="S60" s="23" t="str">
        <f t="shared" si="3"/>
        <v>g0v tw hackath66n — 成果發表 — 負責任 AI 使用與開發指南 ／ Tiff — 台南黑客松</v>
      </c>
    </row>
    <row r="61" ht="15.0" customHeight="1">
      <c r="A61" s="17">
        <v>11.0</v>
      </c>
      <c r="B61" s="82">
        <v>0.7013888888888888</v>
      </c>
      <c r="C61" s="13"/>
      <c r="D61" s="17" t="s">
        <v>43</v>
      </c>
      <c r="E61" s="17" t="s">
        <v>23</v>
      </c>
      <c r="F61" s="16" t="s">
        <v>24</v>
      </c>
      <c r="G61" s="61" t="s">
        <v>25</v>
      </c>
      <c r="H61" s="17" t="s">
        <v>206</v>
      </c>
      <c r="I61" s="17" t="s">
        <v>206</v>
      </c>
      <c r="J61" s="18"/>
      <c r="K61" s="70" t="s">
        <v>207</v>
      </c>
      <c r="L61" s="70" t="s">
        <v>207</v>
      </c>
      <c r="M61" s="18"/>
      <c r="N61" s="18"/>
      <c r="O61" s="18"/>
      <c r="P61" s="18"/>
      <c r="Q61" s="17"/>
      <c r="R61" s="22"/>
      <c r="S61" s="23" t="str">
        <f t="shared" si="3"/>
        <v>g0v tw hackath66n — 成果發表 — 預決算群眾外包 ／ Ronny — 台南黑客松</v>
      </c>
    </row>
    <row r="62" ht="15.0" customHeight="1">
      <c r="A62" s="17">
        <v>12.0</v>
      </c>
      <c r="B62" s="82">
        <v>0.7048611111111112</v>
      </c>
      <c r="C62" s="79"/>
      <c r="D62" s="17" t="s">
        <v>208</v>
      </c>
      <c r="E62" s="17" t="s">
        <v>23</v>
      </c>
      <c r="F62" s="16" t="s">
        <v>24</v>
      </c>
      <c r="G62" s="17" t="s">
        <v>24</v>
      </c>
      <c r="H62" s="17" t="s">
        <v>93</v>
      </c>
      <c r="I62" s="17"/>
      <c r="J62" s="87"/>
      <c r="K62" s="18"/>
      <c r="L62" s="17"/>
      <c r="M62" s="17"/>
      <c r="N62" s="17"/>
      <c r="O62" s="17"/>
      <c r="P62" s="17"/>
      <c r="Q62" s="17"/>
      <c r="R62" s="22"/>
      <c r="S62" s="23" t="str">
        <f t="shared" si="3"/>
        <v>g0v tw hackath66n — 成果發表 — g0v 零宇宙護照 Passport to the g0v universe ／ RSChiang, Dong &amp; tiwb — 台南黑客松</v>
      </c>
    </row>
    <row r="63" ht="15.0" customHeight="1">
      <c r="A63" s="17">
        <v>13.0</v>
      </c>
      <c r="B63" s="82">
        <v>0.7083333333333334</v>
      </c>
      <c r="C63" s="13"/>
      <c r="D63" s="17" t="s">
        <v>209</v>
      </c>
      <c r="E63" s="17" t="s">
        <v>23</v>
      </c>
      <c r="F63" s="16"/>
      <c r="G63" s="61" t="s">
        <v>25</v>
      </c>
      <c r="H63" s="17"/>
      <c r="I63" s="17" t="s">
        <v>210</v>
      </c>
      <c r="J63" s="17"/>
      <c r="K63" s="88" t="s">
        <v>211</v>
      </c>
      <c r="L63" s="17"/>
      <c r="M63" s="47"/>
      <c r="N63" s="47"/>
      <c r="O63" s="47"/>
      <c r="P63" s="47"/>
      <c r="Q63" s="17"/>
      <c r="R63" s="22"/>
      <c r="S63" s="23" t="str">
        <f t="shared" si="3"/>
        <v>g0v tw hackath66n — 成果發表 —  ／ Jothon 揪松團 — 台南黑客松</v>
      </c>
    </row>
    <row r="64" ht="15.0" customHeight="1">
      <c r="A64" s="26" t="s">
        <v>212</v>
      </c>
      <c r="S64" s="89"/>
    </row>
    <row r="65" ht="15.0" customHeight="1">
      <c r="A65" s="89"/>
      <c r="B65" s="90"/>
      <c r="C65" s="90"/>
      <c r="D65" s="91"/>
      <c r="E65" s="91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</row>
  </sheetData>
  <mergeCells count="12">
    <mergeCell ref="A35:R35"/>
    <mergeCell ref="A37:R37"/>
    <mergeCell ref="A40:R40"/>
    <mergeCell ref="A50:R50"/>
    <mergeCell ref="A64:R64"/>
    <mergeCell ref="A1:O1"/>
    <mergeCell ref="A3:R3"/>
    <mergeCell ref="A5:R5"/>
    <mergeCell ref="A8:R8"/>
    <mergeCell ref="A9:O9"/>
    <mergeCell ref="A27:R27"/>
    <mergeCell ref="A30:R30"/>
  </mergeCells>
  <dataValidations>
    <dataValidation type="list" allowBlank="1" sqref="E6:E7 E10:E24 E28 E42:E46 E51:E63">
      <formula1>"in person 實體出席,pre-recorded videos 預錄影片"</formula1>
    </dataValidation>
  </dataValidations>
  <hyperlinks>
    <hyperlink r:id="rId2" ref="L6"/>
    <hyperlink r:id="rId3" ref="K10"/>
    <hyperlink r:id="rId4" ref="K11"/>
    <hyperlink r:id="rId5" ref="K12"/>
    <hyperlink r:id="rId6" ref="L12"/>
    <hyperlink r:id="rId7" ref="L13"/>
    <hyperlink r:id="rId8" ref="K14"/>
    <hyperlink r:id="rId9" ref="L14"/>
    <hyperlink r:id="rId10" location="slide=id.g3171f6dd034_0_396" ref="L15"/>
    <hyperlink r:id="rId11" ref="K16"/>
    <hyperlink r:id="rId12" location="slide=id.g28caf866bb2_1_0" ref="L16"/>
    <hyperlink r:id="rId13" ref="K17"/>
    <hyperlink r:id="rId14" ref="P17"/>
    <hyperlink r:id="rId15" ref="K18"/>
    <hyperlink r:id="rId16" ref="L18"/>
    <hyperlink r:id="rId17" ref="K19"/>
    <hyperlink r:id="rId18" ref="L19"/>
    <hyperlink r:id="rId19" ref="K20"/>
    <hyperlink r:id="rId20" location="slide=id.p1" ref="L20"/>
    <hyperlink r:id="rId21" location="/" ref="K21"/>
    <hyperlink r:id="rId22" location="/" ref="L21"/>
    <hyperlink r:id="rId23" location="slide=id.p" ref="K22"/>
    <hyperlink r:id="rId24" ref="K23"/>
    <hyperlink r:id="rId25" ref="K24"/>
    <hyperlink r:id="rId26" location="slide=id.g33e1e206c21_0_169" ref="L24"/>
    <hyperlink r:id="rId27" ref="K42"/>
    <hyperlink r:id="rId28" ref="L42"/>
    <hyperlink r:id="rId29" ref="K43"/>
    <hyperlink r:id="rId30" ref="L43"/>
    <hyperlink r:id="rId31" ref="K44"/>
    <hyperlink r:id="rId32" location="slide=id.p1" ref="L44"/>
    <hyperlink r:id="rId33" ref="P44"/>
    <hyperlink r:id="rId34" ref="K45"/>
    <hyperlink r:id="rId35" ref="L45"/>
    <hyperlink r:id="rId36" ref="K46"/>
    <hyperlink r:id="rId37" ref="L46"/>
    <hyperlink r:id="rId38" ref="K51"/>
    <hyperlink r:id="rId39" ref="K52"/>
    <hyperlink r:id="rId40" ref="L52"/>
    <hyperlink r:id="rId41" ref="K53"/>
    <hyperlink r:id="rId42" ref="L53"/>
    <hyperlink r:id="rId43" ref="K55"/>
    <hyperlink r:id="rId44" ref="L56"/>
    <hyperlink r:id="rId45" ref="K57"/>
    <hyperlink r:id="rId46" ref="K59"/>
    <hyperlink r:id="rId47" location="slide=id.g33e1e206c21_0_169" ref="L59"/>
    <hyperlink r:id="rId48" ref="K60"/>
    <hyperlink r:id="rId49" ref="L60"/>
    <hyperlink r:id="rId50" location="slide=id.g33e1ee4e0d6_0_5" ref="K61"/>
    <hyperlink r:id="rId51" location="slide=id.g33e1ee4e0d6_0_5" ref="L61"/>
    <hyperlink r:id="rId52" ref="K63"/>
  </hyperlinks>
  <drawing r:id="rId53"/>
  <legacy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2"/>
      <c r="L1" s="93"/>
      <c r="S1" s="94"/>
    </row>
    <row r="2" ht="39.0" customHeight="1">
      <c r="A2" s="79"/>
      <c r="B2" s="95"/>
      <c r="C2" s="96"/>
      <c r="D2" s="96"/>
      <c r="E2" s="96"/>
      <c r="F2" s="96"/>
      <c r="G2" s="97"/>
      <c r="H2" s="79"/>
      <c r="I2" s="79"/>
      <c r="J2" s="79"/>
      <c r="K2" s="79"/>
      <c r="L2" s="98"/>
      <c r="M2" s="96"/>
      <c r="N2" s="96"/>
      <c r="O2" s="96"/>
      <c r="P2" s="96"/>
      <c r="Q2" s="79"/>
      <c r="R2" s="79"/>
      <c r="S2" s="92"/>
      <c r="T2" s="79"/>
      <c r="U2" s="92"/>
      <c r="X2" s="79"/>
    </row>
    <row r="3" ht="39.0" customHeight="1">
      <c r="A3" s="99"/>
      <c r="D3" s="100"/>
      <c r="E3" s="101"/>
      <c r="F3" s="101"/>
      <c r="G3" s="102"/>
      <c r="H3" s="79"/>
      <c r="I3" s="79"/>
      <c r="J3" s="79"/>
      <c r="K3" s="99"/>
      <c r="L3" s="101"/>
      <c r="M3" s="100"/>
      <c r="O3" s="100"/>
      <c r="P3" s="101"/>
      <c r="Q3" s="103"/>
      <c r="R3" s="79"/>
      <c r="S3" s="101"/>
      <c r="T3" s="101"/>
      <c r="U3" s="101"/>
      <c r="V3" s="101"/>
      <c r="W3" s="101"/>
      <c r="X3" s="79"/>
    </row>
    <row r="4" ht="39.0" customHeight="1">
      <c r="A4" s="99"/>
      <c r="B4" s="101"/>
      <c r="C4" s="100"/>
      <c r="D4" s="101"/>
      <c r="E4" s="17"/>
      <c r="F4" s="101"/>
      <c r="G4" s="104"/>
      <c r="H4" s="79"/>
      <c r="I4" s="79"/>
      <c r="J4" s="79"/>
      <c r="K4" s="99"/>
      <c r="L4" s="100"/>
      <c r="M4" s="101"/>
      <c r="N4" s="17"/>
      <c r="O4" s="105"/>
      <c r="P4" s="101"/>
      <c r="Q4" s="103"/>
      <c r="R4" s="79"/>
      <c r="S4" s="101"/>
      <c r="T4" s="101"/>
      <c r="U4" s="100"/>
      <c r="V4" s="105"/>
      <c r="W4" s="100"/>
      <c r="X4" s="79"/>
    </row>
    <row r="5" ht="39.0" customHeight="1">
      <c r="A5" s="99"/>
      <c r="B5" s="101"/>
      <c r="C5" s="101"/>
      <c r="D5" s="100"/>
      <c r="E5" s="101"/>
      <c r="F5" s="101"/>
      <c r="G5" s="101"/>
      <c r="H5" s="79"/>
      <c r="I5" s="79"/>
      <c r="J5" s="79"/>
      <c r="K5" s="99"/>
      <c r="L5" s="101"/>
      <c r="M5" s="101"/>
      <c r="N5" s="100"/>
      <c r="O5" s="101"/>
      <c r="P5" s="100"/>
      <c r="Q5" s="103"/>
      <c r="R5" s="79"/>
      <c r="S5" s="101"/>
      <c r="T5" s="101"/>
      <c r="U5" s="100"/>
      <c r="V5" s="101"/>
      <c r="W5" s="101"/>
      <c r="X5" s="79"/>
    </row>
    <row r="6" ht="39.0" customHeight="1">
      <c r="A6" s="99"/>
      <c r="B6" s="101"/>
      <c r="C6" s="101"/>
      <c r="D6" s="101"/>
      <c r="E6" s="105"/>
      <c r="F6" s="101"/>
      <c r="G6" s="102"/>
      <c r="H6" s="79"/>
      <c r="I6" s="79"/>
      <c r="J6" s="79"/>
      <c r="K6" s="99"/>
      <c r="L6" s="101"/>
      <c r="M6" s="101"/>
      <c r="N6" s="100"/>
      <c r="O6" s="101"/>
      <c r="P6" s="101"/>
      <c r="Q6" s="103"/>
      <c r="R6" s="79"/>
      <c r="S6" s="101"/>
      <c r="T6" s="101"/>
      <c r="U6" s="100"/>
      <c r="V6" s="101"/>
      <c r="W6" s="101"/>
      <c r="X6" s="79"/>
    </row>
    <row r="7" ht="39.0" customHeight="1">
      <c r="A7" s="99"/>
      <c r="B7" s="101"/>
      <c r="C7" s="106"/>
      <c r="D7" s="101"/>
      <c r="E7" s="101"/>
      <c r="F7" s="101"/>
      <c r="G7" s="104"/>
      <c r="H7" s="79"/>
      <c r="I7" s="79"/>
      <c r="J7" s="79"/>
      <c r="K7" s="99"/>
      <c r="L7" s="101"/>
      <c r="M7" s="100"/>
      <c r="N7" s="100"/>
      <c r="O7" s="100"/>
      <c r="P7" s="101"/>
      <c r="Q7" s="103"/>
      <c r="R7" s="79"/>
      <c r="S7" s="101"/>
      <c r="T7" s="101"/>
      <c r="U7" s="100"/>
      <c r="V7" s="101"/>
      <c r="W7" s="101"/>
      <c r="X7" s="79"/>
    </row>
    <row r="8" ht="39.0" customHeight="1">
      <c r="A8" s="99"/>
      <c r="B8" s="101"/>
      <c r="C8" s="107"/>
      <c r="D8" s="101"/>
      <c r="E8" s="101"/>
      <c r="F8" s="101"/>
      <c r="G8" s="101"/>
      <c r="K8" s="108"/>
      <c r="L8" s="101"/>
      <c r="M8" s="101"/>
      <c r="N8" s="100"/>
      <c r="O8" s="109"/>
      <c r="P8" s="101"/>
      <c r="Q8" s="103"/>
      <c r="R8" s="79"/>
      <c r="S8" s="101"/>
      <c r="T8" s="101"/>
      <c r="U8" s="105"/>
      <c r="V8" s="101"/>
      <c r="W8" s="101"/>
      <c r="X8" s="79"/>
    </row>
    <row r="9" ht="39.0" customHeight="1">
      <c r="A9" s="99"/>
      <c r="B9" s="101"/>
      <c r="C9" s="101"/>
      <c r="D9" s="101"/>
      <c r="E9" s="101"/>
      <c r="F9" s="101"/>
      <c r="G9" s="101"/>
      <c r="H9" s="79"/>
      <c r="I9" s="79"/>
      <c r="J9" s="79"/>
      <c r="K9" s="99"/>
      <c r="L9" s="101"/>
      <c r="M9" s="101"/>
      <c r="N9" s="101"/>
      <c r="O9" s="101"/>
      <c r="P9" s="102"/>
      <c r="Q9" s="103"/>
      <c r="R9" s="79"/>
      <c r="S9" s="101"/>
      <c r="T9" s="101"/>
      <c r="U9" s="101"/>
      <c r="V9" s="101"/>
      <c r="W9" s="102"/>
      <c r="X9" s="79"/>
    </row>
    <row r="10" ht="39.0" customHeight="1">
      <c r="A10" s="79"/>
      <c r="B10" s="110"/>
      <c r="C10" s="110"/>
      <c r="D10" s="110"/>
      <c r="E10" s="110"/>
      <c r="F10" s="110"/>
      <c r="G10" s="110"/>
      <c r="H10" s="79"/>
      <c r="I10" s="79"/>
      <c r="J10" s="79"/>
      <c r="K10" s="79"/>
      <c r="L10" s="110"/>
      <c r="M10" s="110"/>
      <c r="N10" s="110"/>
      <c r="O10" s="110"/>
      <c r="P10" s="110"/>
      <c r="Q10" s="79"/>
      <c r="R10" s="79"/>
      <c r="S10" s="79"/>
      <c r="T10" s="79"/>
      <c r="U10" s="79"/>
      <c r="V10" s="79"/>
      <c r="W10" s="79"/>
      <c r="X10" s="79"/>
    </row>
    <row r="11" ht="39.0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</row>
    <row r="12" ht="39.0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</row>
    <row r="13" ht="39.0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</row>
    <row r="14" ht="39.0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</row>
    <row r="15" ht="39.0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</row>
    <row r="16" ht="39.0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</row>
    <row r="17" ht="39.0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</row>
    <row r="18" ht="39.0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19" ht="39.0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</row>
    <row r="20" ht="39.0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</row>
    <row r="21" ht="39.0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</row>
    <row r="22" ht="39.0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</row>
    <row r="23" ht="39.0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</row>
    <row r="24" ht="39.0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</row>
    <row r="25" ht="39.0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</row>
    <row r="26" ht="39.0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</row>
    <row r="27" ht="39.0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</row>
    <row r="28" ht="39.0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</row>
    <row r="29" ht="39.0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</row>
    <row r="30" ht="39.0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</row>
    <row r="31" ht="39.0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</row>
    <row r="32" ht="39.0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</row>
    <row r="33" ht="39.0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</row>
    <row r="34" ht="39.0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ht="39.0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</row>
    <row r="36" ht="39.0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</row>
    <row r="37" ht="39.0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</row>
    <row r="38" ht="39.0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</row>
    <row r="39" ht="39.0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</row>
    <row r="40" ht="39.0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</row>
    <row r="41" ht="39.0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</row>
    <row r="42" ht="39.0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</row>
    <row r="43" ht="39.0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</row>
    <row r="44" ht="39.0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</row>
    <row r="45" ht="39.0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</row>
    <row r="46" ht="39.0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</row>
    <row r="47" ht="39.0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</row>
    <row r="48" ht="39.0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</row>
    <row r="49" ht="39.0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</row>
    <row r="50" ht="39.0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</row>
    <row r="51" ht="39.0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</row>
    <row r="52" ht="39.0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</row>
    <row r="53" ht="39.0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</row>
    <row r="54" ht="39.0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</row>
    <row r="55" ht="39.0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</row>
    <row r="56" ht="39.0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</row>
    <row r="57" ht="39.0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</row>
    <row r="58" ht="39.0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</row>
    <row r="59" ht="39.0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</row>
    <row r="60" ht="39.0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</row>
    <row r="61" ht="39.0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</row>
    <row r="62" ht="39.0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</row>
    <row r="63" ht="39.0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</row>
    <row r="64" ht="39.0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</row>
    <row r="65" ht="39.0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</row>
    <row r="66" ht="39.0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</row>
    <row r="67" ht="39.0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</row>
    <row r="68" ht="39.0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</row>
    <row r="69" ht="39.0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</row>
    <row r="70" ht="39.0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</row>
    <row r="71" ht="39.0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</row>
    <row r="72" ht="39.0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</row>
    <row r="73" ht="39.0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</row>
    <row r="74" ht="39.0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</row>
    <row r="75" ht="39.0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</row>
    <row r="76" ht="39.0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</row>
    <row r="77" ht="39.0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</row>
    <row r="78" ht="39.0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</row>
    <row r="79" ht="39.0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</row>
    <row r="80" ht="39.0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</row>
    <row r="81" ht="39.0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</row>
    <row r="82" ht="39.0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</row>
    <row r="83" ht="39.0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</row>
    <row r="84" ht="39.0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</row>
    <row r="85" ht="39.0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</row>
    <row r="86" ht="39.0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</row>
    <row r="87" ht="39.0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</row>
    <row r="88" ht="39.0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</row>
    <row r="89" ht="39.0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</row>
    <row r="90" ht="39.0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</row>
    <row r="91" ht="39.0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</row>
    <row r="92" ht="39.0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</row>
    <row r="93" ht="39.0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</row>
    <row r="94" ht="39.0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</row>
    <row r="95" ht="39.0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</row>
    <row r="96" ht="39.0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</row>
    <row r="97" ht="39.0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</row>
    <row r="98" ht="39.0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</row>
    <row r="99" ht="39.0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</row>
    <row r="100" ht="39.0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</row>
    <row r="101" ht="39.0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5.13" defaultRowHeight="15.75"/>
  <cols>
    <col customWidth="1" min="1" max="1" width="8.38"/>
    <col customWidth="1" min="2" max="2" width="78.38"/>
    <col customWidth="1" min="3" max="3" width="28.88"/>
  </cols>
  <sheetData>
    <row r="1" ht="48.0" customHeight="1">
      <c r="A1" s="111" t="s">
        <v>213</v>
      </c>
    </row>
    <row r="2" ht="209.25" customHeight="1">
      <c r="B2" s="17"/>
      <c r="C2" t="str">
        <f t="shared" ref="C2:C4" si="1">image("https://quickchart.io/qr?text="&amp; B2)</f>
        <v/>
      </c>
    </row>
    <row r="3" ht="209.25" customHeight="1">
      <c r="B3" s="17"/>
      <c r="C3" t="str">
        <f t="shared" si="1"/>
        <v/>
      </c>
    </row>
    <row r="4" ht="209.25" customHeight="1">
      <c r="B4" s="17"/>
      <c r="C4" t="str">
        <f t="shared" si="1"/>
        <v/>
      </c>
      <c r="D4" s="112"/>
    </row>
    <row r="5" ht="209.25" customHeight="1">
      <c r="B5" s="17"/>
    </row>
    <row r="6" ht="209.25" customHeight="1">
      <c r="B6" s="29" t="s">
        <v>214</v>
      </c>
      <c r="C6" t="str">
        <f t="shared" ref="C6:C7" si="2">image("https://quickchart.io/qr?text="&amp; B6)</f>
        <v/>
      </c>
    </row>
    <row r="7" ht="209.25" customHeight="1">
      <c r="B7" s="29" t="s">
        <v>215</v>
      </c>
      <c r="C7" t="str">
        <f t="shared" si="2"/>
        <v/>
      </c>
    </row>
    <row r="8" ht="209.25" customHeight="1">
      <c r="B8" s="17"/>
    </row>
    <row r="9" ht="209.25" customHeight="1">
      <c r="B9" s="29" t="s">
        <v>216</v>
      </c>
      <c r="C9" t="str">
        <f t="shared" ref="C9:C63" si="3">image("https://quickchart.io/qr?text="&amp; B9)</f>
        <v/>
      </c>
    </row>
    <row r="10" ht="209.25" customHeight="1">
      <c r="B10" s="29" t="s">
        <v>217</v>
      </c>
      <c r="C10" t="str">
        <f t="shared" si="3"/>
        <v/>
      </c>
    </row>
    <row r="11" ht="209.25" customHeight="1">
      <c r="B11" s="29" t="s">
        <v>218</v>
      </c>
      <c r="C11" t="str">
        <f t="shared" si="3"/>
        <v/>
      </c>
    </row>
    <row r="12" ht="209.25" customHeight="1">
      <c r="B12" s="29" t="s">
        <v>219</v>
      </c>
      <c r="C12" t="str">
        <f t="shared" si="3"/>
        <v/>
      </c>
    </row>
    <row r="13" ht="209.25" customHeight="1">
      <c r="B13" s="29" t="s">
        <v>220</v>
      </c>
      <c r="C13" t="str">
        <f t="shared" si="3"/>
        <v/>
      </c>
    </row>
    <row r="14" ht="209.25" customHeight="1">
      <c r="B14" s="29" t="s">
        <v>221</v>
      </c>
      <c r="C14" t="str">
        <f t="shared" si="3"/>
        <v/>
      </c>
    </row>
    <row r="15" ht="209.25" customHeight="1">
      <c r="B15" s="29" t="s">
        <v>222</v>
      </c>
      <c r="C15" t="str">
        <f t="shared" si="3"/>
        <v/>
      </c>
    </row>
    <row r="16" ht="209.25" customHeight="1">
      <c r="B16" s="29" t="s">
        <v>223</v>
      </c>
      <c r="C16" t="str">
        <f t="shared" si="3"/>
        <v/>
      </c>
    </row>
    <row r="17" ht="209.25" customHeight="1">
      <c r="B17" s="29" t="s">
        <v>224</v>
      </c>
      <c r="C17" t="str">
        <f t="shared" si="3"/>
        <v/>
      </c>
    </row>
    <row r="18" ht="209.25" customHeight="1">
      <c r="B18" s="29" t="s">
        <v>225</v>
      </c>
      <c r="C18" t="str">
        <f t="shared" si="3"/>
        <v/>
      </c>
    </row>
    <row r="19" ht="209.25" customHeight="1">
      <c r="B19" s="29" t="s">
        <v>226</v>
      </c>
      <c r="C19" t="str">
        <f t="shared" si="3"/>
        <v/>
      </c>
    </row>
    <row r="20" ht="209.25" customHeight="1">
      <c r="B20" s="29" t="s">
        <v>227</v>
      </c>
      <c r="C20" t="str">
        <f t="shared" si="3"/>
        <v/>
      </c>
    </row>
    <row r="21" ht="209.25" customHeight="1">
      <c r="B21" s="29" t="s">
        <v>228</v>
      </c>
      <c r="C21" t="str">
        <f t="shared" si="3"/>
        <v/>
      </c>
    </row>
    <row r="22" ht="209.25" customHeight="1">
      <c r="B22" s="29" t="s">
        <v>229</v>
      </c>
      <c r="C22" t="str">
        <f t="shared" si="3"/>
        <v/>
      </c>
    </row>
    <row r="23" ht="209.25" customHeight="1">
      <c r="B23" s="29" t="s">
        <v>230</v>
      </c>
      <c r="C23" t="str">
        <f t="shared" si="3"/>
        <v/>
      </c>
    </row>
    <row r="24" ht="209.25" customHeight="1">
      <c r="B24" s="29" t="s">
        <v>231</v>
      </c>
      <c r="C24" t="str">
        <f t="shared" si="3"/>
        <v/>
      </c>
    </row>
    <row r="25" ht="209.25" customHeight="1">
      <c r="B25" s="29" t="s">
        <v>232</v>
      </c>
      <c r="C25" t="str">
        <f t="shared" si="3"/>
        <v/>
      </c>
    </row>
    <row r="26" ht="209.25" customHeight="1">
      <c r="B26" s="29" t="s">
        <v>233</v>
      </c>
      <c r="C26" t="str">
        <f t="shared" si="3"/>
        <v/>
      </c>
    </row>
    <row r="27" ht="209.25" customHeight="1">
      <c r="B27" s="29" t="s">
        <v>234</v>
      </c>
      <c r="C27" t="str">
        <f t="shared" si="3"/>
        <v/>
      </c>
    </row>
    <row r="28" ht="209.25" customHeight="1">
      <c r="B28" s="29" t="s">
        <v>235</v>
      </c>
      <c r="C28" t="str">
        <f t="shared" si="3"/>
        <v/>
      </c>
    </row>
    <row r="29" ht="209.25" customHeight="1">
      <c r="B29" s="29" t="s">
        <v>236</v>
      </c>
      <c r="C29" t="str">
        <f t="shared" si="3"/>
        <v/>
      </c>
    </row>
    <row r="30" ht="209.25" customHeight="1">
      <c r="B30" s="29" t="s">
        <v>237</v>
      </c>
      <c r="C30" t="str">
        <f t="shared" si="3"/>
        <v/>
      </c>
    </row>
    <row r="31" ht="209.25" customHeight="1">
      <c r="B31" s="29" t="s">
        <v>238</v>
      </c>
      <c r="C31" t="str">
        <f t="shared" si="3"/>
        <v/>
      </c>
    </row>
    <row r="32" ht="209.25" customHeight="1">
      <c r="B32" s="29" t="s">
        <v>239</v>
      </c>
      <c r="C32" t="str">
        <f t="shared" si="3"/>
        <v/>
      </c>
    </row>
    <row r="33" ht="209.25" customHeight="1">
      <c r="B33" s="29" t="s">
        <v>240</v>
      </c>
      <c r="C33" t="str">
        <f t="shared" si="3"/>
        <v/>
      </c>
    </row>
    <row r="34" ht="209.25" customHeight="1">
      <c r="B34" s="29" t="s">
        <v>241</v>
      </c>
      <c r="C34" t="str">
        <f t="shared" si="3"/>
        <v/>
      </c>
    </row>
    <row r="35" ht="209.25" customHeight="1">
      <c r="B35" s="29" t="s">
        <v>242</v>
      </c>
      <c r="C35" t="str">
        <f t="shared" si="3"/>
        <v/>
      </c>
    </row>
    <row r="36" ht="209.25" customHeight="1">
      <c r="B36" s="29" t="s">
        <v>243</v>
      </c>
      <c r="C36" t="str">
        <f t="shared" si="3"/>
        <v/>
      </c>
    </row>
    <row r="37" ht="209.25" customHeight="1">
      <c r="B37" s="29" t="s">
        <v>244</v>
      </c>
      <c r="C37" t="str">
        <f t="shared" si="3"/>
        <v/>
      </c>
    </row>
    <row r="38" ht="209.25" customHeight="1">
      <c r="B38" s="29" t="s">
        <v>245</v>
      </c>
      <c r="C38" t="str">
        <f t="shared" si="3"/>
        <v/>
      </c>
    </row>
    <row r="39" ht="209.25" customHeight="1">
      <c r="B39" s="29" t="s">
        <v>246</v>
      </c>
      <c r="C39" t="str">
        <f t="shared" si="3"/>
        <v/>
      </c>
    </row>
    <row r="40" ht="209.25" customHeight="1">
      <c r="B40" s="29" t="s">
        <v>247</v>
      </c>
      <c r="C40" t="str">
        <f t="shared" si="3"/>
        <v/>
      </c>
    </row>
    <row r="41" ht="209.25" customHeight="1">
      <c r="B41" s="29" t="s">
        <v>248</v>
      </c>
      <c r="C41" t="str">
        <f t="shared" si="3"/>
        <v/>
      </c>
    </row>
    <row r="42" ht="209.25" customHeight="1">
      <c r="B42" s="29" t="s">
        <v>249</v>
      </c>
      <c r="C42" t="str">
        <f t="shared" si="3"/>
        <v/>
      </c>
    </row>
    <row r="43" ht="209.25" customHeight="1">
      <c r="B43" s="29" t="s">
        <v>250</v>
      </c>
      <c r="C43" t="str">
        <f t="shared" si="3"/>
        <v/>
      </c>
    </row>
    <row r="44" ht="209.25" customHeight="1">
      <c r="B44" s="29" t="s">
        <v>251</v>
      </c>
      <c r="C44" t="str">
        <f t="shared" si="3"/>
        <v/>
      </c>
    </row>
    <row r="45" ht="209.25" customHeight="1">
      <c r="B45" s="29" t="s">
        <v>252</v>
      </c>
      <c r="C45" t="str">
        <f t="shared" si="3"/>
        <v/>
      </c>
    </row>
    <row r="46" ht="209.25" customHeight="1">
      <c r="B46" s="29" t="s">
        <v>253</v>
      </c>
      <c r="C46" t="str">
        <f t="shared" si="3"/>
        <v/>
      </c>
    </row>
    <row r="47" ht="209.25" customHeight="1">
      <c r="B47" s="29" t="s">
        <v>254</v>
      </c>
      <c r="C47" t="str">
        <f t="shared" si="3"/>
        <v/>
      </c>
    </row>
    <row r="48" ht="209.25" customHeight="1">
      <c r="B48" s="29" t="s">
        <v>255</v>
      </c>
      <c r="C48" t="str">
        <f t="shared" si="3"/>
        <v/>
      </c>
    </row>
    <row r="49" ht="209.25" customHeight="1">
      <c r="B49" s="29" t="s">
        <v>256</v>
      </c>
      <c r="C49" t="str">
        <f t="shared" si="3"/>
        <v/>
      </c>
    </row>
    <row r="50" ht="209.25" customHeight="1">
      <c r="B50" s="29" t="s">
        <v>257</v>
      </c>
      <c r="C50" t="str">
        <f t="shared" si="3"/>
        <v/>
      </c>
    </row>
    <row r="51" ht="209.25" customHeight="1">
      <c r="B51" s="29" t="s">
        <v>258</v>
      </c>
      <c r="C51" t="str">
        <f t="shared" si="3"/>
        <v/>
      </c>
    </row>
    <row r="52" ht="209.25" customHeight="1">
      <c r="B52" s="29" t="s">
        <v>259</v>
      </c>
      <c r="C52" t="str">
        <f t="shared" si="3"/>
        <v/>
      </c>
    </row>
    <row r="53" ht="209.25" customHeight="1">
      <c r="B53" s="29" t="s">
        <v>260</v>
      </c>
      <c r="C53" t="str">
        <f t="shared" si="3"/>
        <v/>
      </c>
    </row>
    <row r="54" ht="209.25" customHeight="1">
      <c r="B54" s="29" t="s">
        <v>261</v>
      </c>
      <c r="C54" t="str">
        <f t="shared" si="3"/>
        <v/>
      </c>
    </row>
    <row r="55" ht="209.25" customHeight="1">
      <c r="B55" s="29" t="s">
        <v>262</v>
      </c>
      <c r="C55" t="str">
        <f t="shared" si="3"/>
        <v/>
      </c>
    </row>
    <row r="56" ht="209.25" customHeight="1">
      <c r="B56" s="29" t="s">
        <v>263</v>
      </c>
      <c r="C56" t="str">
        <f t="shared" si="3"/>
        <v/>
      </c>
    </row>
    <row r="57" ht="209.25" customHeight="1">
      <c r="B57" s="29" t="s">
        <v>264</v>
      </c>
      <c r="C57" t="str">
        <f t="shared" si="3"/>
        <v/>
      </c>
    </row>
    <row r="58" ht="209.25" customHeight="1">
      <c r="B58" s="29" t="s">
        <v>265</v>
      </c>
      <c r="C58" t="str">
        <f t="shared" si="3"/>
        <v/>
      </c>
    </row>
    <row r="59" ht="209.25" customHeight="1">
      <c r="B59" s="29" t="s">
        <v>266</v>
      </c>
      <c r="C59" t="str">
        <f t="shared" si="3"/>
        <v/>
      </c>
    </row>
    <row r="60" ht="209.25" customHeight="1">
      <c r="B60" s="29" t="s">
        <v>267</v>
      </c>
      <c r="C60" t="str">
        <f t="shared" si="3"/>
        <v/>
      </c>
    </row>
    <row r="61" ht="209.25" customHeight="1">
      <c r="B61" s="29" t="s">
        <v>268</v>
      </c>
      <c r="C61" t="str">
        <f t="shared" si="3"/>
        <v/>
      </c>
    </row>
    <row r="62" ht="209.25" customHeight="1">
      <c r="B62" s="29" t="s">
        <v>269</v>
      </c>
      <c r="C62" t="str">
        <f t="shared" si="3"/>
        <v/>
      </c>
    </row>
    <row r="63" ht="209.25" customHeight="1">
      <c r="B63" s="29" t="s">
        <v>270</v>
      </c>
      <c r="C63" t="str">
        <f t="shared" si="3"/>
        <v/>
      </c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</sheetData>
  <mergeCells count="1">
    <mergeCell ref="A1:B1"/>
  </mergeCells>
  <hyperlinks>
    <hyperlink r:id="rId1" ref="B6"/>
    <hyperlink r:id="rId2" ref="B7"/>
    <hyperlink r:id="rId3" ref="B9"/>
    <hyperlink r:id="rId4" ref="B10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</hyperlinks>
  <drawing r:id="rId58"/>
</worksheet>
</file>