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<sst xmlns="http://schemas.openxmlformats.org/spreadsheetml/2006/main" count="237" uniqueCount="176">
  <si>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</si>
  <si>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</si>
  <si>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</si>
  <si>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</si>
  <si>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</si>
  <si>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</si>
  <si>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</si>
  <si>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</si>
  <si>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</si>
  <si>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</si>
  <si>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</si>
  <si>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</si>
  <si>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</si>
  <si>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12/26 09:30開場，09:40提案開始【3分鐘提案報名】每個 present 3min，提案、徵人。</t>
  </si>
  <si>
    <t>https://www.youtube.com/watch?v=SGOMsAvFVOE</t>
  </si>
  <si>
    <t>youtube 播放清單</t>
  </si>
  <si>
    <t>https://www.youtube.com/playlist?list=PLdwQWxpS513DCtvJq7bmo8UIG9b-hx8Qf</t>
  </si>
  <si>
    <t>新聞　分析　媒體組織的行為</t>
  </si>
  <si>
    <t>1.分類文字新聞
2.分類電視新聞
3.勞力者</t>
  </si>
  <si>
    <t>食蛇龜、生態、資訊交流</t>
  </si>
  <si>
    <t>HTML+CSS+JS、資訊視覺化設計</t>
  </si>
  <si>
    <t>吳沛燊</t>
  </si>
  <si>
    <t>Y</t>
  </si>
  <si>
    <t>健保核刪</t>
  </si>
  <si>
    <t>https://dsp.hackpad.com/L8FFA61oHcF</t>
  </si>
  <si>
    <t>http://www.slideshare.net/peishenwu/ss-56012640</t>
  </si>
  <si>
    <t>https://www.youtube.com/watch?v=vEuj2tBE0NU</t>
  </si>
  <si>
    <t>Mindos</t>
  </si>
  <si>
    <t>MT7688</t>
  </si>
  <si>
    <t>王信凱 Sky</t>
  </si>
  <si>
    <t>站聲 - 民意代表的評價平台</t>
  </si>
  <si>
    <t>CC BY</t>
  </si>
  <si>
    <t>https://g0v.hackpad.com/m4tGX88GT8X</t>
  </si>
  <si>
    <t>http://solveissue.org/</t>
  </si>
  <si>
    <t>民代贊和噓、評論、排行</t>
  </si>
  <si>
    <t>ETBlue</t>
  </si>
  <si>
    <t>懶人藝術家 x 經濟民主連合</t>
  </si>
  <si>
    <t>http://beta.hackfoldr.org/lazy-artist</t>
  </si>
  <si>
    <t>插畫、社運、NGO</t>
  </si>
  <si>
    <t>插畫家</t>
  </si>
  <si>
    <t>Guild Wars 2 Inventory</t>
  </si>
  <si>
    <t>MIT</t>
  </si>
  <si>
    <t>https://g0v.hackpad.com/Guild-Wars-2-Inventory-NcrQirRU18O</t>
  </si>
  <si>
    <t>http://etblue.github.io/gw2inventory/</t>
  </si>
  <si>
    <t>GW2、前端、除蟲</t>
  </si>
  <si>
    <t>可以忍受菜鳥的 code 的F2E</t>
  </si>
  <si>
    <t>Peggy</t>
  </si>
  <si>
    <t>公務人員開放資料Lesson 2</t>
  </si>
  <si>
    <t>cc0</t>
  </si>
  <si>
    <t>https://hackpad.com/Lesson-2-SSDJngGP8MU</t>
  </si>
  <si>
    <t>https://www.dropbox.com/s/p6p4h5gk64cr3nm/%E5%85%AC%E5%8B%99%E5%93%A1%E9%96%8B%E6%94%BE%E8%B3%87%E6%96%99Lesson%202.pptx?dl=0</t>
  </si>
  <si>
    <t>公務員翻譯蒟蒻</t>
  </si>
  <si>
    <t>有耐心跟我解說你怎麼用資料的工程師</t>
  </si>
  <si>
    <t>小四</t>
  </si>
  <si>
    <t>Ｙ</t>
  </si>
  <si>
    <t>一起來玩防災演習唄～</t>
  </si>
  <si>
    <t>https://hackpad.com/105-UWDiLaZEEaQ</t>
  </si>
  <si>
    <t>災害、演習、志工</t>
  </si>
  <si>
    <t>對防災有興趣的人、網頁或資料庫工程師</t>
  </si>
  <si>
    <t>poga</t>
  </si>
  <si>
    <t>開放資料 landing page 產生器</t>
  </si>
  <si>
    <t>https://g0v.hackpad.com/-landing-page-SfuUIP4TA80</t>
  </si>
  <si>
    <t>https://dl.dropboxusercontent.com/u/125794/datasmith.pdf</t>
  </si>
  <si>
    <t>資料分析、產生器、行銷</t>
  </si>
  <si>
    <t>喜歡玩資料的人</t>
  </si>
  <si>
    <t>Effie</t>
  </si>
  <si>
    <t>司改實境遊戲計畫</t>
  </si>
  <si>
    <t>CC-BY</t>
  </si>
  <si>
    <t>https://g0v.hackpad.com/uG07Z5744Sp</t>
  </si>
  <si>
    <t>https://drive.google.com/open?id=0B_uTOPXK4r0daExsVzFDbFlpVG8</t>
  </si>
  <si>
    <t>實境遊戲、司法議題、網站建置</t>
  </si>
  <si>
    <t>視覺設計、插畫家</t>
  </si>
  <si>
    <t>Bobby Tung</t>
  </si>
  <si>
    <t>自己的Emoji自己造</t>
  </si>
  <si>
    <t>Open Standard</t>
  </si>
  <si>
    <t>https://g0v.hackpad.com/Emoji-YPkxkHyGz97</t>
  </si>
  <si>
    <t>http://www.slideshare.net/bobby3302/emoji-56448120</t>
  </si>
  <si>
    <t>Emoji, Unicode, 標準化</t>
  </si>
  <si>
    <t>繪圖、Google Trend等</t>
  </si>
  <si>
    <t>Liz</t>
  </si>
  <si>
    <t>iTaigi嘛愛講台語</t>
  </si>
  <si>
    <t>CC0</t>
  </si>
  <si>
    <t>https://g0v.hackpad.com/moed7ct-taigi-neologism?r=0#iTaigi</t>
  </si>
  <si>
    <t>台語、鄉民、好工具</t>
  </si>
  <si>
    <t>前端工程師、網頁設計師</t>
  </si>
  <si>
    <t>If</t>
  </si>
  <si>
    <t>救救臺灣龜/野保法</t>
  </si>
  <si>
    <t>程式 MIT / CC BY-NC 4.0</t>
  </si>
  <si>
    <t>https://g0v.hackpad.com/tFDaeOtsSbU</t>
  </si>
  <si>
    <t>http://g0v.github.io/cuora/</t>
  </si>
  <si>
    <t>台灣龜、盜獵走私、野保法</t>
  </si>
  <si>
    <t>網頁設計師、挖資料</t>
  </si>
  <si>
    <t>理查</t>
  </si>
  <si>
    <t>通勤自行車道影片平台</t>
  </si>
  <si>
    <t>https://g0v.hackpad.com/acE04QoED4q</t>
  </si>
  <si>
    <t>自行車通勤、影片分享</t>
  </si>
  <si>
    <t>== 截止 ==</t>
  </si>
  <si>
    <t>12/26 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</si>
  <si>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</si>
  <si>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</si>
  <si>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</si>
  <si>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</si>
  <si>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</si>
  <si>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</si>
  <si>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whisky</t>
  </si>
  <si>
    <t>data.gov.tw 與 community</t>
  </si>
  <si>
    <t>opendata gov community</t>
  </si>
  <si>
    <t>為什麼都市計畫要開放</t>
  </si>
  <si>
    <t>開放都市計畫</t>
  </si>
  <si>
    <t>廖昱嘉</t>
  </si>
  <si>
    <t>淺談公寓大廈管理委員會與都市更新之關係
——從日本反觀台灣——</t>
  </si>
  <si>
    <t>都市更新、管委會</t>
  </si>
  <si>
    <t>健保</t>
  </si>
  <si>
    <t>本期開放4位8分鐘</t>
  </si>
  <si>
    <t>==== 截止 ====</t>
  </si>
  <si>
    <t>12/26 17:00【 present project】 規則：於106-7會議室舉行
每個 present 5min，可視 project 數量和剩餘時間調整</t>
  </si>
  <si>
    <t>李慕約</t>
  </si>
  <si>
    <t>yes</t>
  </si>
  <si>
    <t>選舉圖表程式庫</t>
  </si>
  <si>
    <t>GPL v2</t>
  </si>
  <si>
    <t>https://github.com/sheethub/2016electionchart</t>
  </si>
  <si>
    <t>17:05</t>
  </si>
  <si>
    <t>開放資料新聞產生器</t>
  </si>
  <si>
    <t>https://g0v.hackpad.com/SfuUIP4TA80</t>
  </si>
  <si>
    <t>https://github.com/g0v/datasmith</t>
  </si>
  <si>
    <t>17:10</t>
  </si>
  <si>
    <t xml:space="preserve">Bobby Tung </t>
  </si>
  <si>
    <t>https://docs.google.com/spreadsheets/d/1GHA0iy-OJsQ9BBiJXtffkCLjFbScYyVffrzQvmGs-wk/edit#gid=0</t>
  </si>
  <si>
    <t>17:15</t>
  </si>
  <si>
    <t>救救野保法</t>
  </si>
  <si>
    <t>https://g0v.hackpad.com/saSmRqGHLt1</t>
  </si>
  <si>
    <t>https://docs.google.com/spreadsheets/d/1vrjXHYMad2gkvWGav3r42h5Uoxw9Zm6TzB-JGYCUF44/edit?usp=sharing</t>
  </si>
  <si>
    <t>https://www.youtube.com/watch?v=ScLXIw1dsxI</t>
  </si>
  <si>
    <t xml:space="preserve">https://goo.gl/0dTDuv
</t>
  </si>
  <si>
    <t>17:20</t>
  </si>
  <si>
    <t>Ly</t>
  </si>
  <si>
    <t>g0v summit 2016 progressing</t>
  </si>
  <si>
    <t>http://beta.hackfoldr.org/g0v-summit2016</t>
  </si>
  <si>
    <t>https://www.youtube.com/watch?v=eLpyAH_-M2U</t>
  </si>
  <si>
    <t>https://hackmd.io/s/NkyjgG4We</t>
  </si>
  <si>
    <t>17:25</t>
  </si>
  <si>
    <t>MrOrz</t>
  </si>
  <si>
    <t>沒有進度的2016總統大選承諾一覽表</t>
  </si>
  <si>
    <t>http://beta.hackfoldr.org/president2016-folder/Hacktabl-2-nbhQS36Tcx9</t>
  </si>
  <si>
    <t>http://beta.hacktabl.org/president2016</t>
  </si>
  <si>
    <t>17:30</t>
  </si>
  <si>
    <t>https://hackpad.com/UWDiLaZEEaQ#:h=今日討論-recap</t>
  </si>
  <si>
    <t>17:35</t>
  </si>
  <si>
    <t>miaoski</t>
  </si>
  <si>
    <t>阿美語萌典 App - 5.5.0</t>
  </si>
  <si>
    <t>CC0 + CC/BY-NC</t>
  </si>
  <si>
    <t>17:40</t>
  </si>
  <si>
    <t>y</t>
  </si>
  <si>
    <t>公務員開放資料Lesson2</t>
  </si>
  <si>
    <t>cc by 4.0</t>
  </si>
  <si>
    <t>https://hackpad.com/Lesson-2-ver-1.0-66v3MznX37g</t>
  </si>
  <si>
    <t>17:45</t>
  </si>
  <si>
    <t>MH</t>
  </si>
  <si>
    <t>什麼是健保點值？什麼是核刪？</t>
  </si>
  <si>
    <t>http://www.slideshare.net/peichilo3/g0v-po</t>
  </si>
  <si>
    <t>17:50</t>
  </si>
  <si>
    <t>dir</t>
  </si>
  <si>
    <t>哺乳地圖</t>
  </si>
  <si>
    <t>https://g0v.hackpad.com/O0rbl8VdqpC</t>
  </si>
  <si>
    <t>17:55</t>
  </si>
  <si>
    <t>https://www.youtube.com/watch?v=JIiRnbgpH70</t>
  </si>
  <si>
    <t>18:00</t>
  </si>
  <si>
    <t>曾經是老實的老王 (Re: 健保核刪)</t>
  </si>
  <si>
    <t xml:space="preserve"> </t>
  </si>
  <si>
    <t>開場場地 舞台</t>
  </si>
  <si>
    <t>白板</t>
  </si>
  <si>
    <t>門</t>
  </si>
  <si>
    <t xml:space="preserve"> 門</t>
  </si>
  <si>
    <t>iTaigi 臺語鄉民網站</t>
  </si>
  <si>
    <t>hacktabl</t>
  </si>
  <si>
    <t>2016總統大選承諾一覽表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</si>
</sst>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H:mm"/>
  </numFmts>
  <fonts count="27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u/>
      <color rgb="FFFF9900"/>
    </font>
    <font>
      <color rgb="FFFF9900"/>
    </font>
    <font/>
    <font>
      <u/>
      <color rgb="FF0000FF"/>
    </font>
    <font>
      <sz val="10.0"/>
      <color rgb="FF000000"/>
    </font>
    <font>
      <sz val="10.0"/>
    </font>
    <font>
      <color rgb="FF0000FF"/>
    </font>
    <font>
      <u/>
      <color rgb="FF0000FF"/>
    </font>
    <font>
      <u/>
      <color rgb="FF0000FF"/>
    </font>
    <font>
      <u/>
      <sz val="10.0"/>
      <color rgb="FF1155CC"/>
    </font>
    <font>
      <u/>
      <sz val="10.0"/>
      <color rgb="FF0000FF"/>
    </font>
    <font>
      <u/>
      <sz val="10.0"/>
      <color rgb="FF000000"/>
    </font>
    <font>
      <u/>
      <sz val="10.0"/>
      <color rgb="FF0000FF"/>
    </font>
    <font>
      <u/>
      <sz val="10.0"/>
      <color rgb="FF0000FF"/>
    </font>
    <font>
      <name val="Arial"/>
    </font>
    <font>
      <u/>
      <color rgb="FF0000FF"/>
      <name val="Arial"/>
    </font>
    <font>
      <u/>
      <color rgb="FF000000"/>
    </font>
    <font>
      <sz val="11.0"/>
      <color rgb="FF2B80B9"/>
    </font>
    <font>
      <sz val="14.0"/>
    </font>
    <font>
      <sz val="12.0"/>
    </font>
    <font>
      <sz val="6.0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5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5" fontId="17" numFmtId="0" xfId="0" applyAlignment="1" applyFont="1">
      <alignment horizontal="left" readingOrder="0" shrinkToFit="0" wrapText="1"/>
    </xf>
    <xf borderId="0" fillId="5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shrinkToFit="0" wrapText="1"/>
    </xf>
    <xf borderId="0" fillId="3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5" fontId="10" numFmtId="0" xfId="0" applyAlignment="1" applyFont="1">
      <alignment readingOrder="0" shrinkToFit="0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6" fontId="7" numFmtId="0" xfId="0" applyAlignment="1" applyFill="1" applyFont="1">
      <alignment shrinkToFit="0" vertical="center" wrapText="1"/>
    </xf>
    <xf borderId="0" fillId="6" fontId="10" numFmtId="0" xfId="0" applyAlignment="1" applyFont="1">
      <alignment horizontal="center" readingOrder="0" shrinkToFit="0" wrapText="1"/>
    </xf>
    <xf borderId="0" fillId="6" fontId="7" numFmtId="0" xfId="0" applyAlignment="1" applyFont="1">
      <alignment horizontal="center" shrinkToFit="0" vertical="center" wrapText="1"/>
    </xf>
    <xf quotePrefix="1" borderId="0" fillId="6" fontId="10" numFmtId="0" xfId="0" applyAlignment="1" applyFont="1">
      <alignment horizontal="center" readingOrder="0" shrinkToFit="0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wrapText="1"/>
    </xf>
    <xf borderId="0" fillId="0" fontId="7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wrapText="1"/>
    </xf>
    <xf borderId="0" fillId="0" fontId="22" numFmtId="0" xfId="0" applyAlignment="1" applyFont="1">
      <alignment readingOrder="0" shrinkToFit="0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4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5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6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ckpad.com/UWDiLaZEEaQ" TargetMode="External"/><Relationship Id="rId20" Type="http://schemas.openxmlformats.org/officeDocument/2006/relationships/hyperlink" Target="https://g0v.hackpad.com/moed7ct-taigi-neologism?r=0" TargetMode="External"/><Relationship Id="rId42" Type="http://schemas.openxmlformats.org/officeDocument/2006/relationships/hyperlink" Target="http://www.slideshare.net/peichilo3/g0v-po" TargetMode="External"/><Relationship Id="rId41" Type="http://schemas.openxmlformats.org/officeDocument/2006/relationships/hyperlink" Target="https://hackpad.com/Lesson-2-ver-1.0-66v3MznX37g" TargetMode="External"/><Relationship Id="rId22" Type="http://schemas.openxmlformats.org/officeDocument/2006/relationships/hyperlink" Target="http://g0v.github.io/cuora/" TargetMode="External"/><Relationship Id="rId44" Type="http://schemas.openxmlformats.org/officeDocument/2006/relationships/hyperlink" Target="https://g0v.hackpad.com/moed7ct-taigi-neologism?r=0" TargetMode="External"/><Relationship Id="rId21" Type="http://schemas.openxmlformats.org/officeDocument/2006/relationships/hyperlink" Target="https://g0v.hackpad.com/tFDaeOtsSbU" TargetMode="External"/><Relationship Id="rId43" Type="http://schemas.openxmlformats.org/officeDocument/2006/relationships/hyperlink" Target="https://g0v.hackpad.com/O0rbl8VdqpC" TargetMode="External"/><Relationship Id="rId24" Type="http://schemas.openxmlformats.org/officeDocument/2006/relationships/hyperlink" Target="http://www.slideshare.net/peishenwu/ss-56012640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g0v.hackpad.com/acE04QoED4q" TargetMode="External"/><Relationship Id="rId45" Type="http://schemas.openxmlformats.org/officeDocument/2006/relationships/hyperlink" Target="https://www.youtube.com/watch?v=JIiRnbgpH70" TargetMode="External"/><Relationship Id="rId1" Type="http://schemas.openxmlformats.org/officeDocument/2006/relationships/hyperlink" Target="https://www.youtube.com/watch?v=SGOMsAvFVOE" TargetMode="External"/><Relationship Id="rId2" Type="http://schemas.openxmlformats.org/officeDocument/2006/relationships/hyperlink" Target="https://www.youtube.com/playlist?list=PLdwQWxpS513DCtvJq7bmo8UIG9b-hx8Qf" TargetMode="External"/><Relationship Id="rId3" Type="http://schemas.openxmlformats.org/officeDocument/2006/relationships/hyperlink" Target="https://dsp.hackpad.com/L8FFA61oHcF" TargetMode="External"/><Relationship Id="rId4" Type="http://schemas.openxmlformats.org/officeDocument/2006/relationships/hyperlink" Target="http://www.slideshare.net/peishenwu/ss-56012640" TargetMode="External"/><Relationship Id="rId9" Type="http://schemas.openxmlformats.org/officeDocument/2006/relationships/hyperlink" Target="https://g0v.hackpad.com/Guild-Wars-2-Inventory-NcrQirRU18O" TargetMode="External"/><Relationship Id="rId26" Type="http://schemas.openxmlformats.org/officeDocument/2006/relationships/hyperlink" Target="https://github.com/sheethub/2016electionchart" TargetMode="External"/><Relationship Id="rId25" Type="http://schemas.openxmlformats.org/officeDocument/2006/relationships/hyperlink" Target="https://github.com/sheethub/2016electionchart" TargetMode="External"/><Relationship Id="rId28" Type="http://schemas.openxmlformats.org/officeDocument/2006/relationships/hyperlink" Target="https://github.com/g0v/datasmith" TargetMode="External"/><Relationship Id="rId27" Type="http://schemas.openxmlformats.org/officeDocument/2006/relationships/hyperlink" Target="https://g0v.hackpad.com/SfuUIP4TA80" TargetMode="External"/><Relationship Id="rId5" Type="http://schemas.openxmlformats.org/officeDocument/2006/relationships/hyperlink" Target="https://www.youtube.com/watch?v=vEuj2tBE0NU" TargetMode="External"/><Relationship Id="rId6" Type="http://schemas.openxmlformats.org/officeDocument/2006/relationships/hyperlink" Target="https://g0v.hackpad.com/m4tGX88GT8X" TargetMode="External"/><Relationship Id="rId29" Type="http://schemas.openxmlformats.org/officeDocument/2006/relationships/hyperlink" Target="https://g0v.hackpad.com/Emoji-YPkxkHyGz97" TargetMode="External"/><Relationship Id="rId7" Type="http://schemas.openxmlformats.org/officeDocument/2006/relationships/hyperlink" Target="http://solveissue.org/" TargetMode="External"/><Relationship Id="rId8" Type="http://schemas.openxmlformats.org/officeDocument/2006/relationships/hyperlink" Target="http://beta.hackfoldr.org/lazy-artist" TargetMode="External"/><Relationship Id="rId31" Type="http://schemas.openxmlformats.org/officeDocument/2006/relationships/hyperlink" Target="https://g0v.hackpad.com/saSmRqGHLt1" TargetMode="External"/><Relationship Id="rId30" Type="http://schemas.openxmlformats.org/officeDocument/2006/relationships/hyperlink" Target="https://docs.google.com/spreadsheets/d/1GHA0iy-OJsQ9BBiJXtffkCLjFbScYyVffrzQvmGs-wk/edit" TargetMode="External"/><Relationship Id="rId11" Type="http://schemas.openxmlformats.org/officeDocument/2006/relationships/hyperlink" Target="https://hackpad.com/Lesson-2-SSDJngGP8MU" TargetMode="External"/><Relationship Id="rId33" Type="http://schemas.openxmlformats.org/officeDocument/2006/relationships/hyperlink" Target="https://www.youtube.com/watch?v=ScLXIw1dsxI" TargetMode="External"/><Relationship Id="rId10" Type="http://schemas.openxmlformats.org/officeDocument/2006/relationships/hyperlink" Target="http://etblue.github.io/gw2inventory/" TargetMode="External"/><Relationship Id="rId32" Type="http://schemas.openxmlformats.org/officeDocument/2006/relationships/hyperlink" Target="https://docs.google.com/spreadsheets/d/1vrjXHYMad2gkvWGav3r42h5Uoxw9Zm6TzB-JGYCUF44/edit?usp=sharing" TargetMode="External"/><Relationship Id="rId13" Type="http://schemas.openxmlformats.org/officeDocument/2006/relationships/hyperlink" Target="https://hackpad.com/105-UWDiLaZEEaQ" TargetMode="External"/><Relationship Id="rId35" Type="http://schemas.openxmlformats.org/officeDocument/2006/relationships/hyperlink" Target="http://beta.hackfoldr.org/g0v-summit2016" TargetMode="External"/><Relationship Id="rId12" Type="http://schemas.openxmlformats.org/officeDocument/2006/relationships/hyperlink" Target="https://www.dropbox.com/s/p6p4h5gk64cr3nm/%E5%85%AC%E5%8B%99%E5%93%A1%E9%96%8B%E6%94%BE%E8%B3%87%E6%96%99Lesson%202.pptx?dl=0" TargetMode="External"/><Relationship Id="rId34" Type="http://schemas.openxmlformats.org/officeDocument/2006/relationships/hyperlink" Target="https://goo.gl/0dTDuv" TargetMode="External"/><Relationship Id="rId15" Type="http://schemas.openxmlformats.org/officeDocument/2006/relationships/hyperlink" Target="https://dl.dropboxusercontent.com/u/125794/datasmith.pdf" TargetMode="External"/><Relationship Id="rId37" Type="http://schemas.openxmlformats.org/officeDocument/2006/relationships/hyperlink" Target="https://hackmd.io/s/NkyjgG4We" TargetMode="External"/><Relationship Id="rId14" Type="http://schemas.openxmlformats.org/officeDocument/2006/relationships/hyperlink" Target="https://g0v.hackpad.com/-landing-page-SfuUIP4TA80" TargetMode="External"/><Relationship Id="rId36" Type="http://schemas.openxmlformats.org/officeDocument/2006/relationships/hyperlink" Target="https://www.youtube.com/watch?v=eLpyAH_-M2U" TargetMode="External"/><Relationship Id="rId17" Type="http://schemas.openxmlformats.org/officeDocument/2006/relationships/hyperlink" Target="https://drive.google.com/open?id=0B_uTOPXK4r0daExsVzFDbFlpVG8" TargetMode="External"/><Relationship Id="rId39" Type="http://schemas.openxmlformats.org/officeDocument/2006/relationships/hyperlink" Target="http://beta.hacktabl.org/president2016" TargetMode="External"/><Relationship Id="rId16" Type="http://schemas.openxmlformats.org/officeDocument/2006/relationships/hyperlink" Target="https://g0v.hackpad.com/uG07Z5744Sp" TargetMode="External"/><Relationship Id="rId38" Type="http://schemas.openxmlformats.org/officeDocument/2006/relationships/hyperlink" Target="http://beta.hackfoldr.org/president2016-folder/Hacktabl-2-nbhQS36Tcx9" TargetMode="External"/><Relationship Id="rId19" Type="http://schemas.openxmlformats.org/officeDocument/2006/relationships/hyperlink" Target="http://www.slideshare.net/bobby3302/emoji-56448120" TargetMode="External"/><Relationship Id="rId18" Type="http://schemas.openxmlformats.org/officeDocument/2006/relationships/hyperlink" Target="https://g0v.hackpad.com/Emoji-YPkxkHyGz9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23.13"/>
    <col customWidth="1" min="7" max="7" width="11.0"/>
    <col customWidth="1" min="8" max="8" width="29.5"/>
    <col customWidth="1" min="9" max="9" width="28.38"/>
    <col customWidth="1" min="10" max="10" width="21.0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15.0" customHeight="1">
      <c r="A3" s="7" t="s">
        <v>13</v>
      </c>
    </row>
    <row r="4" ht="15.0" customHeight="1">
      <c r="A4" s="8" t="s">
        <v>14</v>
      </c>
      <c r="L4" s="9"/>
      <c r="M4" s="9"/>
      <c r="N4" s="9"/>
    </row>
    <row r="5" ht="15.0" hidden="1" customHeight="1">
      <c r="A5" s="10">
        <v>1.0</v>
      </c>
      <c r="B5" s="11">
        <v>0.4027777777777778</v>
      </c>
      <c r="C5" s="12"/>
      <c r="D5" s="10" t="s">
        <v>15</v>
      </c>
      <c r="E5" s="13"/>
      <c r="F5" s="14" t="s">
        <v>16</v>
      </c>
      <c r="G5" s="10"/>
      <c r="H5" s="15"/>
      <c r="I5" s="15"/>
      <c r="J5" s="10"/>
      <c r="K5" s="10"/>
      <c r="L5" s="10"/>
      <c r="M5" s="16"/>
      <c r="N5" s="10"/>
    </row>
    <row r="6" ht="15.0" hidden="1" customHeight="1">
      <c r="A6" s="17">
        <f t="shared" ref="A6:A10" si="1">A5+1</f>
        <v>2</v>
      </c>
      <c r="B6" s="18">
        <f t="shared" ref="B6:B10" si="2">B5+3/24/60</f>
        <v>0.4048611111</v>
      </c>
      <c r="C6" s="12"/>
      <c r="D6" s="10"/>
      <c r="E6" s="13"/>
      <c r="F6" s="10"/>
      <c r="G6" s="10"/>
      <c r="H6" s="10"/>
      <c r="I6" s="10"/>
      <c r="J6" s="10"/>
      <c r="K6" s="10"/>
      <c r="L6" s="10"/>
      <c r="N6" s="15"/>
    </row>
    <row r="7" ht="15.0" hidden="1" customHeight="1">
      <c r="A7" s="17">
        <f t="shared" si="1"/>
        <v>3</v>
      </c>
      <c r="B7" s="18">
        <f t="shared" si="2"/>
        <v>0.4069444444</v>
      </c>
      <c r="C7" s="12"/>
      <c r="D7" s="15"/>
      <c r="E7" s="13"/>
      <c r="F7" s="15"/>
      <c r="G7" s="15"/>
      <c r="H7" s="15"/>
      <c r="I7" s="15"/>
      <c r="J7" s="15"/>
      <c r="K7" s="10"/>
      <c r="L7" s="10"/>
      <c r="M7" s="16"/>
      <c r="N7" s="16"/>
    </row>
    <row r="8" ht="15.0" hidden="1" customHeight="1">
      <c r="A8" s="17">
        <f t="shared" si="1"/>
        <v>4</v>
      </c>
      <c r="B8" s="18">
        <f t="shared" si="2"/>
        <v>0.4090277778</v>
      </c>
      <c r="E8" s="13"/>
      <c r="F8" s="10"/>
      <c r="G8" s="10"/>
      <c r="I8" s="10"/>
      <c r="J8" s="10" t="s">
        <v>17</v>
      </c>
      <c r="K8" s="10" t="s">
        <v>18</v>
      </c>
      <c r="L8" s="10"/>
      <c r="M8" s="16"/>
      <c r="N8" s="10"/>
    </row>
    <row r="9" ht="15.0" hidden="1" customHeight="1">
      <c r="A9" s="17">
        <f t="shared" si="1"/>
        <v>5</v>
      </c>
      <c r="B9" s="18">
        <f t="shared" si="2"/>
        <v>0.4111111111</v>
      </c>
      <c r="E9" s="13"/>
      <c r="I9" s="10"/>
      <c r="J9" s="10"/>
      <c r="K9" s="10"/>
      <c r="L9" s="10"/>
      <c r="M9" s="16"/>
      <c r="N9" s="10"/>
    </row>
    <row r="10" ht="15.0" hidden="1" customHeight="1">
      <c r="A10" s="17">
        <f t="shared" si="1"/>
        <v>6</v>
      </c>
      <c r="B10" s="18">
        <f t="shared" si="2"/>
        <v>0.4131944444</v>
      </c>
      <c r="E10" s="13"/>
      <c r="I10" s="10"/>
      <c r="J10" s="10" t="s">
        <v>19</v>
      </c>
      <c r="K10" s="10" t="s">
        <v>20</v>
      </c>
      <c r="L10" s="10"/>
      <c r="M10" s="16"/>
      <c r="N10" s="10"/>
    </row>
    <row r="11" ht="15.0" customHeight="1">
      <c r="A11" s="17">
        <v>1.0</v>
      </c>
      <c r="B11" s="18">
        <v>0.4027777777777778</v>
      </c>
      <c r="C11" s="12"/>
      <c r="D11" s="10"/>
      <c r="E11" s="13"/>
      <c r="F11" s="10"/>
      <c r="G11" s="10"/>
      <c r="H11" s="10"/>
      <c r="I11" s="10"/>
      <c r="J11" s="10"/>
      <c r="K11" s="10"/>
      <c r="L11" s="10"/>
      <c r="M11" s="16"/>
      <c r="N11" s="10"/>
    </row>
    <row r="12" ht="15.0" customHeight="1">
      <c r="A12" s="17">
        <v>2.0</v>
      </c>
      <c r="B12" s="18">
        <v>0.4048611111111111</v>
      </c>
      <c r="C12" s="12"/>
      <c r="D12" s="10"/>
      <c r="E12" s="13"/>
      <c r="F12" s="10"/>
      <c r="G12" s="10"/>
      <c r="H12" s="10"/>
      <c r="I12" s="10"/>
      <c r="J12" s="10"/>
      <c r="K12" s="10"/>
      <c r="L12" s="10"/>
      <c r="M12" s="16"/>
      <c r="N12" s="19"/>
    </row>
    <row r="13" ht="15.0" customHeight="1">
      <c r="A13" s="17">
        <v>3.0</v>
      </c>
      <c r="B13" s="18">
        <v>0.40694444444444444</v>
      </c>
      <c r="C13" s="12"/>
      <c r="D13" s="10"/>
      <c r="E13" s="13"/>
      <c r="F13" s="10"/>
      <c r="G13" s="10"/>
      <c r="H13" s="10"/>
      <c r="I13" s="10"/>
      <c r="J13" s="10"/>
      <c r="K13" s="10"/>
      <c r="L13" s="10"/>
      <c r="M13" s="10"/>
      <c r="N13" s="10"/>
    </row>
    <row r="14" ht="15.0" customHeight="1">
      <c r="A14" s="17">
        <v>4.0</v>
      </c>
      <c r="B14" s="18">
        <v>0.40902777777777777</v>
      </c>
      <c r="C14" s="12"/>
      <c r="D14" s="10" t="s">
        <v>21</v>
      </c>
      <c r="E14" s="13" t="s">
        <v>22</v>
      </c>
      <c r="F14" s="10" t="s">
        <v>23</v>
      </c>
      <c r="G14" s="15"/>
      <c r="H14" s="20" t="s">
        <v>24</v>
      </c>
      <c r="I14" s="20" t="s">
        <v>25</v>
      </c>
      <c r="J14" s="10"/>
      <c r="K14" s="10"/>
      <c r="L14" s="14" t="s">
        <v>26</v>
      </c>
      <c r="M14" s="16"/>
      <c r="N14" s="10"/>
    </row>
    <row r="15" ht="15.0" customHeight="1">
      <c r="A15" s="17">
        <v>5.0</v>
      </c>
      <c r="B15" s="18">
        <v>0.41805555555555557</v>
      </c>
      <c r="C15" s="12"/>
      <c r="D15" s="10" t="s">
        <v>27</v>
      </c>
      <c r="E15" s="13" t="s">
        <v>22</v>
      </c>
      <c r="F15" s="10" t="s">
        <v>28</v>
      </c>
      <c r="G15" s="15"/>
      <c r="H15" s="10"/>
      <c r="I15" s="10"/>
      <c r="J15" s="10"/>
      <c r="K15" s="15"/>
      <c r="L15" s="10"/>
      <c r="M15" s="16"/>
      <c r="N15" s="21"/>
    </row>
    <row r="16" ht="15.0" customHeight="1">
      <c r="A16" s="17">
        <v>6.0</v>
      </c>
      <c r="B16" s="18">
        <v>0.4201388888888889</v>
      </c>
      <c r="C16" s="12"/>
      <c r="D16" s="15"/>
      <c r="E16" s="13"/>
      <c r="F16" s="15"/>
      <c r="G16" s="10"/>
      <c r="H16" s="15"/>
      <c r="J16" s="15"/>
      <c r="K16" s="15"/>
      <c r="L16" s="10"/>
      <c r="M16" s="16"/>
      <c r="N16" s="10"/>
    </row>
    <row r="17" ht="15.0" customHeight="1">
      <c r="A17" s="17">
        <v>7.0</v>
      </c>
      <c r="B17" s="18">
        <v>0.4222222222222222</v>
      </c>
      <c r="C17" s="12"/>
      <c r="D17" s="15" t="s">
        <v>29</v>
      </c>
      <c r="E17" s="13" t="s">
        <v>22</v>
      </c>
      <c r="F17" s="15" t="s">
        <v>30</v>
      </c>
      <c r="G17" s="10" t="s">
        <v>31</v>
      </c>
      <c r="H17" s="22" t="s">
        <v>32</v>
      </c>
      <c r="I17" s="22" t="s">
        <v>33</v>
      </c>
      <c r="J17" s="15" t="s">
        <v>34</v>
      </c>
    </row>
    <row r="18" ht="15.0" customHeight="1">
      <c r="A18" s="17">
        <v>8.0</v>
      </c>
      <c r="B18" s="18">
        <v>0.42430555555555555</v>
      </c>
      <c r="C18" s="12"/>
      <c r="D18" s="10" t="s">
        <v>35</v>
      </c>
      <c r="E18" s="13" t="s">
        <v>22</v>
      </c>
      <c r="F18" s="10" t="s">
        <v>36</v>
      </c>
      <c r="G18" s="10" t="s">
        <v>31</v>
      </c>
      <c r="H18" s="23" t="s">
        <v>37</v>
      </c>
      <c r="I18" s="24"/>
      <c r="J18" s="10" t="s">
        <v>38</v>
      </c>
      <c r="K18" s="25" t="s">
        <v>39</v>
      </c>
      <c r="L18" s="10"/>
      <c r="M18" s="16"/>
      <c r="N18" s="10"/>
    </row>
    <row r="19" ht="15.0" customHeight="1">
      <c r="A19" s="17">
        <v>9.0</v>
      </c>
      <c r="B19" s="18">
        <v>0.4263888888888889</v>
      </c>
      <c r="C19" s="12"/>
      <c r="D19" s="10" t="s">
        <v>35</v>
      </c>
      <c r="E19" s="13" t="s">
        <v>22</v>
      </c>
      <c r="F19" s="10" t="s">
        <v>40</v>
      </c>
      <c r="G19" s="15" t="s">
        <v>41</v>
      </c>
      <c r="H19" s="26" t="s">
        <v>42</v>
      </c>
      <c r="I19" s="26" t="s">
        <v>43</v>
      </c>
      <c r="J19" s="27" t="s">
        <v>44</v>
      </c>
      <c r="K19" s="10" t="s">
        <v>45</v>
      </c>
      <c r="L19" s="10"/>
      <c r="M19" s="16"/>
      <c r="N19" s="10"/>
    </row>
    <row r="20" ht="28.5" customHeight="1">
      <c r="A20" s="17">
        <v>10.0</v>
      </c>
      <c r="B20" s="18">
        <v>0.4284722222222222</v>
      </c>
      <c r="C20" s="12"/>
      <c r="D20" s="17" t="s">
        <v>46</v>
      </c>
      <c r="E20" s="13" t="s">
        <v>22</v>
      </c>
      <c r="F20" s="17" t="s">
        <v>47</v>
      </c>
      <c r="G20" s="10" t="s">
        <v>48</v>
      </c>
      <c r="H20" s="28" t="s">
        <v>49</v>
      </c>
      <c r="I20" s="28" t="s">
        <v>50</v>
      </c>
      <c r="J20" s="17" t="s">
        <v>51</v>
      </c>
      <c r="K20" s="10" t="s">
        <v>52</v>
      </c>
      <c r="L20" s="10"/>
      <c r="M20" s="16"/>
      <c r="N20" s="10"/>
    </row>
    <row r="21" ht="15.0" customHeight="1">
      <c r="A21" s="17">
        <v>11.0</v>
      </c>
      <c r="B21" s="18">
        <v>0.4305555555555556</v>
      </c>
      <c r="C21" s="12"/>
      <c r="D21" s="10" t="s">
        <v>53</v>
      </c>
      <c r="E21" s="13" t="s">
        <v>54</v>
      </c>
      <c r="F21" s="10" t="s">
        <v>55</v>
      </c>
      <c r="G21" s="10" t="s">
        <v>41</v>
      </c>
      <c r="H21" s="22" t="s">
        <v>56</v>
      </c>
      <c r="I21" s="15"/>
      <c r="J21" s="15" t="s">
        <v>57</v>
      </c>
      <c r="K21" s="15" t="s">
        <v>58</v>
      </c>
      <c r="L21" s="10"/>
      <c r="M21" s="16"/>
      <c r="N21" s="10"/>
    </row>
    <row r="22" ht="15.0" customHeight="1">
      <c r="A22" s="17">
        <v>12.0</v>
      </c>
      <c r="B22" s="18">
        <v>0.4326388888888889</v>
      </c>
      <c r="C22" s="12"/>
      <c r="D22" s="10" t="s">
        <v>59</v>
      </c>
      <c r="E22" s="13" t="s">
        <v>22</v>
      </c>
      <c r="F22" s="10" t="s">
        <v>60</v>
      </c>
      <c r="G22" s="10" t="s">
        <v>41</v>
      </c>
      <c r="H22" s="14" t="s">
        <v>61</v>
      </c>
      <c r="I22" s="14" t="s">
        <v>62</v>
      </c>
      <c r="J22" s="10" t="s">
        <v>63</v>
      </c>
      <c r="K22" s="10" t="s">
        <v>64</v>
      </c>
      <c r="L22" s="10"/>
      <c r="M22" s="16"/>
      <c r="N22" s="10"/>
    </row>
    <row r="23" ht="15.0" customHeight="1">
      <c r="A23" s="17">
        <v>13.0</v>
      </c>
      <c r="B23" s="18">
        <v>0.43472222222222223</v>
      </c>
      <c r="C23" s="12"/>
      <c r="D23" s="15" t="s">
        <v>65</v>
      </c>
      <c r="E23" s="29" t="s">
        <v>54</v>
      </c>
      <c r="F23" s="15" t="s">
        <v>66</v>
      </c>
      <c r="G23" s="15" t="s">
        <v>67</v>
      </c>
      <c r="H23" s="22" t="s">
        <v>68</v>
      </c>
      <c r="I23" s="22" t="s">
        <v>69</v>
      </c>
      <c r="J23" s="15" t="s">
        <v>70</v>
      </c>
      <c r="K23" s="15" t="s">
        <v>71</v>
      </c>
      <c r="L23" s="10"/>
      <c r="N23" s="15"/>
    </row>
    <row r="24" ht="15.0" customHeight="1">
      <c r="A24" s="17">
        <v>14.0</v>
      </c>
      <c r="B24" s="18">
        <v>0.43680555555555556</v>
      </c>
      <c r="C24" s="12"/>
      <c r="D24" s="30" t="s">
        <v>72</v>
      </c>
      <c r="E24" s="13" t="s">
        <v>22</v>
      </c>
      <c r="F24" s="10" t="s">
        <v>73</v>
      </c>
      <c r="G24" s="10" t="s">
        <v>74</v>
      </c>
      <c r="H24" s="14" t="s">
        <v>75</v>
      </c>
      <c r="I24" s="14" t="s">
        <v>76</v>
      </c>
      <c r="J24" s="31" t="s">
        <v>77</v>
      </c>
      <c r="K24" s="10" t="s">
        <v>78</v>
      </c>
      <c r="L24" s="10"/>
      <c r="M24" s="16"/>
      <c r="N24" s="10"/>
    </row>
    <row r="25" ht="15.0" customHeight="1">
      <c r="A25" s="17">
        <v>15.0</v>
      </c>
      <c r="B25" s="18">
        <v>0.4388888888888889</v>
      </c>
      <c r="C25" s="12"/>
      <c r="D25" s="17" t="s">
        <v>79</v>
      </c>
      <c r="E25" s="13" t="s">
        <v>22</v>
      </c>
      <c r="F25" s="17" t="s">
        <v>80</v>
      </c>
      <c r="G25" s="15" t="s">
        <v>81</v>
      </c>
      <c r="H25" s="32" t="s">
        <v>82</v>
      </c>
      <c r="I25" s="33" t="str">
        <f>HYPERLINK("http://itaigi.tw/","http://itaigi.tw/")</f>
        <v>http://itaigi.tw/</v>
      </c>
      <c r="J25" s="10" t="s">
        <v>83</v>
      </c>
      <c r="K25" s="10" t="s">
        <v>84</v>
      </c>
      <c r="L25" s="10"/>
      <c r="M25" s="16"/>
      <c r="N25" s="10"/>
    </row>
    <row r="26" ht="15.0" customHeight="1">
      <c r="A26" s="17">
        <v>16.0</v>
      </c>
      <c r="B26" s="18">
        <v>0.4409722222222222</v>
      </c>
      <c r="C26" s="12"/>
      <c r="D26" s="34" t="s">
        <v>85</v>
      </c>
      <c r="E26" s="35" t="s">
        <v>22</v>
      </c>
      <c r="F26" s="36" t="s">
        <v>86</v>
      </c>
      <c r="G26" s="34" t="s">
        <v>87</v>
      </c>
      <c r="H26" s="37" t="s">
        <v>88</v>
      </c>
      <c r="I26" s="14" t="s">
        <v>89</v>
      </c>
      <c r="J26" s="10" t="s">
        <v>90</v>
      </c>
      <c r="K26" s="10" t="s">
        <v>91</v>
      </c>
      <c r="L26" s="10"/>
      <c r="M26" s="16"/>
      <c r="N26" s="16"/>
    </row>
    <row r="27" ht="15.0" customHeight="1">
      <c r="A27" s="17">
        <v>17.0</v>
      </c>
      <c r="B27" s="18">
        <v>0.44305555555555554</v>
      </c>
      <c r="C27" s="12"/>
      <c r="D27" s="10" t="s">
        <v>92</v>
      </c>
      <c r="E27" s="13" t="s">
        <v>22</v>
      </c>
      <c r="F27" s="10" t="s">
        <v>93</v>
      </c>
      <c r="G27" s="10" t="s">
        <v>67</v>
      </c>
      <c r="H27" s="14" t="s">
        <v>94</v>
      </c>
      <c r="I27" s="10"/>
      <c r="J27" s="10" t="s">
        <v>95</v>
      </c>
      <c r="K27" s="10"/>
      <c r="L27" s="10"/>
      <c r="M27" s="16"/>
      <c r="N27" s="16"/>
    </row>
    <row r="28" ht="15.0" customHeight="1">
      <c r="A28" s="10"/>
      <c r="B28" s="18"/>
      <c r="C28" s="12"/>
      <c r="D28" s="10"/>
      <c r="E28" s="13"/>
      <c r="F28" s="10"/>
      <c r="G28" s="10"/>
      <c r="H28" s="10"/>
      <c r="I28" s="10"/>
      <c r="J28" s="10"/>
      <c r="K28" s="10"/>
      <c r="L28" s="10"/>
      <c r="M28" s="16"/>
      <c r="N28" s="16"/>
    </row>
    <row r="29" ht="15.0" customHeight="1">
      <c r="A29" s="10"/>
      <c r="B29" s="18"/>
      <c r="C29" s="12"/>
      <c r="D29" s="10"/>
      <c r="E29" s="13"/>
      <c r="F29" s="10"/>
      <c r="G29" s="10"/>
      <c r="H29" s="10"/>
      <c r="I29" s="10"/>
      <c r="J29" s="10"/>
      <c r="K29" s="10"/>
      <c r="L29" s="10"/>
      <c r="M29" s="16"/>
      <c r="N29" s="16"/>
    </row>
    <row r="30" ht="15.0" customHeight="1">
      <c r="A30" s="10"/>
      <c r="B30" s="18"/>
      <c r="C30" s="12"/>
      <c r="D30" s="10"/>
      <c r="E30" s="13"/>
      <c r="F30" s="10"/>
      <c r="G30" s="10"/>
      <c r="H30" s="10"/>
      <c r="I30" s="10"/>
      <c r="J30" s="10"/>
      <c r="K30" s="10"/>
      <c r="L30" s="10"/>
      <c r="M30" s="16"/>
      <c r="N30" s="16"/>
    </row>
    <row r="31" ht="15.0" customHeight="1">
      <c r="A31" s="10"/>
      <c r="B31" s="18"/>
      <c r="C31" s="12"/>
      <c r="D31" s="38" t="s">
        <v>96</v>
      </c>
      <c r="E31" s="13"/>
      <c r="F31" s="10"/>
      <c r="G31" s="10"/>
      <c r="H31" s="10"/>
      <c r="I31" s="10"/>
      <c r="J31" s="10"/>
      <c r="K31" s="10"/>
      <c r="L31" s="10"/>
      <c r="M31" s="16"/>
      <c r="N31" s="16"/>
    </row>
    <row r="32" ht="15.0" customHeight="1">
      <c r="A32" s="7" t="s">
        <v>97</v>
      </c>
    </row>
    <row r="33" ht="15.0" customHeight="1">
      <c r="A33" s="4" t="s">
        <v>98</v>
      </c>
      <c r="B33" s="4" t="s">
        <v>99</v>
      </c>
      <c r="C33" s="3" t="s">
        <v>1</v>
      </c>
      <c r="D33" s="4" t="s">
        <v>2</v>
      </c>
      <c r="E33" s="6" t="s">
        <v>100</v>
      </c>
      <c r="F33" s="4" t="s">
        <v>4</v>
      </c>
      <c r="G33" s="39"/>
      <c r="H33" s="4"/>
      <c r="I33" s="4" t="s">
        <v>101</v>
      </c>
      <c r="J33" s="4" t="s">
        <v>102</v>
      </c>
      <c r="K33" s="4" t="s">
        <v>103</v>
      </c>
      <c r="L33" s="39"/>
      <c r="M33" s="39"/>
      <c r="N33" s="39"/>
    </row>
    <row r="34" ht="15.0" customHeight="1">
      <c r="A34" s="40">
        <v>1.0</v>
      </c>
      <c r="B34" s="18">
        <v>0.6041666666666666</v>
      </c>
      <c r="C34" s="12"/>
      <c r="D34" s="30" t="s">
        <v>104</v>
      </c>
      <c r="E34" s="13"/>
      <c r="F34" s="30" t="s">
        <v>105</v>
      </c>
      <c r="G34" s="41"/>
      <c r="H34" s="30"/>
      <c r="I34" s="30"/>
      <c r="J34" s="30" t="s">
        <v>106</v>
      </c>
      <c r="K34" s="10"/>
      <c r="L34" s="30"/>
      <c r="M34" s="42"/>
      <c r="N34" s="42"/>
    </row>
    <row r="35" ht="15.0" customHeight="1">
      <c r="A35" s="40">
        <v>2.0</v>
      </c>
      <c r="B35" s="18">
        <v>0.6111111111111112</v>
      </c>
      <c r="C35" s="12"/>
      <c r="D35" s="30" t="s">
        <v>92</v>
      </c>
      <c r="E35" s="13"/>
      <c r="F35" s="30" t="s">
        <v>107</v>
      </c>
      <c r="G35" s="42"/>
      <c r="H35" s="43"/>
      <c r="I35" s="43"/>
      <c r="J35" s="10" t="s">
        <v>108</v>
      </c>
      <c r="K35" s="10"/>
      <c r="L35" s="30"/>
      <c r="M35" s="42"/>
      <c r="N35" s="30"/>
    </row>
    <row r="36" ht="15.0" customHeight="1">
      <c r="A36" s="40">
        <v>3.0</v>
      </c>
      <c r="B36" s="18">
        <v>0.6180555555555556</v>
      </c>
      <c r="C36" s="12"/>
      <c r="D36" s="15" t="s">
        <v>109</v>
      </c>
      <c r="E36" s="13"/>
      <c r="F36" s="15" t="s">
        <v>110</v>
      </c>
      <c r="G36" s="41"/>
      <c r="H36" s="15"/>
      <c r="I36" s="15"/>
      <c r="J36" s="15" t="s">
        <v>111</v>
      </c>
      <c r="K36" s="15"/>
      <c r="L36" s="15"/>
      <c r="N36" s="44"/>
    </row>
    <row r="37" ht="15.0" customHeight="1">
      <c r="A37" s="45">
        <v>4.0</v>
      </c>
      <c r="B37" s="18">
        <v>0.625</v>
      </c>
      <c r="C37" s="12"/>
      <c r="D37" s="15" t="s">
        <v>21</v>
      </c>
      <c r="E37" s="13"/>
      <c r="F37" s="10" t="s">
        <v>23</v>
      </c>
      <c r="G37" s="19"/>
      <c r="H37" s="10"/>
      <c r="I37" s="14" t="s">
        <v>25</v>
      </c>
      <c r="J37" s="10" t="s">
        <v>112</v>
      </c>
      <c r="K37" s="15"/>
      <c r="L37" s="10"/>
      <c r="M37" s="16"/>
      <c r="N37" s="16"/>
    </row>
    <row r="38" ht="15.0" customHeight="1">
      <c r="A38" s="46"/>
      <c r="B38" s="47" t="s">
        <v>113</v>
      </c>
      <c r="C38" s="48"/>
      <c r="D38" s="49" t="s">
        <v>114</v>
      </c>
      <c r="E38" s="48"/>
      <c r="F38" s="50"/>
      <c r="G38" s="46"/>
      <c r="H38" s="46"/>
      <c r="I38" s="46"/>
      <c r="J38" s="46"/>
      <c r="K38" s="46"/>
      <c r="L38" s="50"/>
      <c r="M38" s="46"/>
      <c r="N38" s="46"/>
    </row>
    <row r="39" ht="15.0" customHeight="1">
      <c r="A39" s="46"/>
      <c r="B39" s="51"/>
      <c r="C39" s="48"/>
      <c r="D39" s="52"/>
      <c r="E39" s="48"/>
      <c r="F39" s="46"/>
      <c r="G39" s="46"/>
      <c r="H39" s="46"/>
      <c r="I39" s="46"/>
      <c r="J39" s="46"/>
      <c r="K39" s="46"/>
      <c r="L39" s="46"/>
      <c r="M39" s="46"/>
      <c r="N39" s="46"/>
    </row>
    <row r="40" ht="15.0" customHeight="1">
      <c r="A40" s="16"/>
      <c r="B40" s="53"/>
      <c r="C40" s="53"/>
      <c r="D40" s="16"/>
      <c r="E40" s="54"/>
      <c r="F40" s="16"/>
      <c r="G40" s="16"/>
      <c r="H40" s="16"/>
      <c r="I40" s="16"/>
      <c r="J40" s="16"/>
      <c r="K40" s="16"/>
      <c r="L40" s="16"/>
      <c r="M40" s="16"/>
      <c r="N40" s="16"/>
    </row>
    <row r="41" ht="15.0" customHeight="1">
      <c r="A41" s="16"/>
      <c r="B41" s="53"/>
      <c r="C41" s="53"/>
      <c r="E41" s="54"/>
      <c r="F41" s="16"/>
      <c r="G41" s="16"/>
      <c r="H41" s="16"/>
      <c r="I41" s="16"/>
      <c r="J41" s="16"/>
      <c r="K41" s="16"/>
      <c r="L41" s="16"/>
      <c r="M41" s="16"/>
      <c r="N41" s="16"/>
    </row>
    <row r="42" ht="15.0" customHeight="1">
      <c r="A42" s="16"/>
      <c r="B42" s="53"/>
      <c r="C42" s="53"/>
      <c r="D42" s="16"/>
      <c r="E42" s="54"/>
      <c r="F42" s="16"/>
      <c r="G42" s="16"/>
      <c r="H42" s="16"/>
      <c r="I42" s="16"/>
      <c r="J42" s="16"/>
      <c r="K42" s="16"/>
      <c r="L42" s="16"/>
      <c r="M42" s="16"/>
      <c r="N42" s="16"/>
    </row>
    <row r="43" ht="15.0" customHeight="1">
      <c r="A43" s="16"/>
      <c r="B43" s="53"/>
      <c r="C43" s="53"/>
      <c r="D43" s="16"/>
      <c r="E43" s="54"/>
      <c r="F43" s="16"/>
      <c r="G43" s="16"/>
      <c r="H43" s="16"/>
      <c r="I43" s="16"/>
      <c r="J43" s="16"/>
      <c r="K43" s="16"/>
      <c r="L43" s="16"/>
      <c r="M43" s="16"/>
      <c r="N43" s="16"/>
    </row>
    <row r="44" ht="15.0" customHeight="1">
      <c r="A44" s="7" t="s">
        <v>115</v>
      </c>
    </row>
    <row r="45" ht="15.0" customHeight="1">
      <c r="A45" s="45">
        <v>1.0</v>
      </c>
      <c r="B45" s="55">
        <v>0.7083333333333334</v>
      </c>
      <c r="C45" s="12"/>
      <c r="D45" s="10" t="s">
        <v>116</v>
      </c>
      <c r="E45" s="13" t="s">
        <v>117</v>
      </c>
      <c r="F45" s="10" t="s">
        <v>118</v>
      </c>
      <c r="G45" s="10" t="s">
        <v>119</v>
      </c>
      <c r="H45" s="25"/>
      <c r="I45" s="23" t="s">
        <v>120</v>
      </c>
      <c r="J45" s="10"/>
      <c r="K45" s="10"/>
      <c r="L45" s="10"/>
      <c r="M45" s="16"/>
      <c r="N45" s="14" t="s">
        <v>120</v>
      </c>
    </row>
    <row r="46" ht="15.0" customHeight="1">
      <c r="A46" s="45">
        <v>2.0</v>
      </c>
      <c r="B46" s="56" t="s">
        <v>121</v>
      </c>
      <c r="C46" s="12"/>
      <c r="D46" s="10" t="s">
        <v>59</v>
      </c>
      <c r="E46" s="13" t="s">
        <v>117</v>
      </c>
      <c r="F46" s="10" t="s">
        <v>122</v>
      </c>
      <c r="G46" s="10" t="s">
        <v>41</v>
      </c>
      <c r="H46" s="14" t="s">
        <v>123</v>
      </c>
      <c r="I46" s="14" t="s">
        <v>124</v>
      </c>
      <c r="J46" s="10"/>
      <c r="K46" s="10"/>
      <c r="L46" s="10"/>
      <c r="M46" s="16"/>
      <c r="N46" s="10"/>
    </row>
    <row r="47" ht="15.0" customHeight="1">
      <c r="A47" s="45">
        <v>3.0</v>
      </c>
      <c r="B47" s="56" t="s">
        <v>125</v>
      </c>
      <c r="C47" s="12"/>
      <c r="D47" s="10" t="s">
        <v>126</v>
      </c>
      <c r="E47" s="13" t="s">
        <v>22</v>
      </c>
      <c r="F47" s="10" t="s">
        <v>73</v>
      </c>
      <c r="G47" s="10" t="s">
        <v>74</v>
      </c>
      <c r="H47" s="33" t="s">
        <v>75</v>
      </c>
      <c r="I47" s="32" t="s">
        <v>127</v>
      </c>
      <c r="J47" s="10"/>
      <c r="K47" s="10"/>
      <c r="L47" s="10"/>
      <c r="M47" s="16"/>
      <c r="N47" s="16"/>
    </row>
    <row r="48" ht="15.0" customHeight="1">
      <c r="A48" s="45">
        <v>4.0</v>
      </c>
      <c r="B48" s="56" t="s">
        <v>128</v>
      </c>
      <c r="C48" s="12"/>
      <c r="D48" s="15" t="s">
        <v>85</v>
      </c>
      <c r="E48" s="13" t="s">
        <v>22</v>
      </c>
      <c r="F48" s="15" t="s">
        <v>129</v>
      </c>
      <c r="H48" s="22" t="s">
        <v>130</v>
      </c>
      <c r="I48" s="22" t="s">
        <v>131</v>
      </c>
      <c r="J48" s="10"/>
      <c r="K48" s="10"/>
      <c r="L48" s="10"/>
      <c r="M48" s="14" t="s">
        <v>132</v>
      </c>
      <c r="N48" s="14" t="s">
        <v>133</v>
      </c>
    </row>
    <row r="49" ht="15.0" customHeight="1">
      <c r="A49" s="45">
        <v>5.0</v>
      </c>
      <c r="B49" s="56" t="s">
        <v>134</v>
      </c>
      <c r="C49" s="12"/>
      <c r="D49" s="10" t="s">
        <v>135</v>
      </c>
      <c r="E49" s="13" t="s">
        <v>22</v>
      </c>
      <c r="F49" s="10" t="s">
        <v>136</v>
      </c>
      <c r="G49" s="10" t="s">
        <v>81</v>
      </c>
      <c r="H49" s="57" t="s">
        <v>137</v>
      </c>
      <c r="I49" s="10"/>
      <c r="J49" s="10"/>
      <c r="K49" s="16"/>
      <c r="L49" s="10"/>
      <c r="M49" s="14" t="s">
        <v>138</v>
      </c>
      <c r="N49" s="14" t="s">
        <v>139</v>
      </c>
    </row>
    <row r="50" ht="15.0" customHeight="1">
      <c r="A50" s="45">
        <v>6.0</v>
      </c>
      <c r="B50" s="56" t="s">
        <v>140</v>
      </c>
      <c r="C50" s="12"/>
      <c r="D50" s="15" t="s">
        <v>141</v>
      </c>
      <c r="E50" s="13" t="s">
        <v>22</v>
      </c>
      <c r="F50" s="15" t="s">
        <v>142</v>
      </c>
      <c r="G50" s="15" t="s">
        <v>41</v>
      </c>
      <c r="H50" s="22" t="s">
        <v>143</v>
      </c>
      <c r="I50" s="22" t="s">
        <v>144</v>
      </c>
      <c r="L50" s="10"/>
      <c r="M50" s="16"/>
      <c r="N50" s="16"/>
    </row>
    <row r="51" ht="15.0" customHeight="1">
      <c r="A51" s="45">
        <v>7.0</v>
      </c>
      <c r="B51" s="56" t="s">
        <v>145</v>
      </c>
      <c r="C51" s="12"/>
      <c r="D51" s="10" t="s">
        <v>53</v>
      </c>
      <c r="E51" s="13" t="s">
        <v>22</v>
      </c>
      <c r="F51" s="10" t="s">
        <v>55</v>
      </c>
      <c r="G51" s="10" t="s">
        <v>41</v>
      </c>
      <c r="H51" s="14" t="s">
        <v>146</v>
      </c>
      <c r="I51" s="10"/>
      <c r="J51" s="15"/>
      <c r="K51" s="10"/>
      <c r="L51" s="10"/>
      <c r="M51" s="16"/>
      <c r="N51" s="16"/>
    </row>
    <row r="52" ht="15.0" customHeight="1">
      <c r="A52" s="45">
        <v>8.0</v>
      </c>
      <c r="B52" s="56" t="s">
        <v>147</v>
      </c>
      <c r="C52" s="12"/>
      <c r="D52" s="15" t="s">
        <v>148</v>
      </c>
      <c r="E52" s="13" t="s">
        <v>22</v>
      </c>
      <c r="F52" s="10" t="s">
        <v>149</v>
      </c>
      <c r="G52" s="10" t="s">
        <v>150</v>
      </c>
      <c r="H52" s="10"/>
      <c r="I52" s="10"/>
      <c r="J52" s="10"/>
      <c r="K52" s="10"/>
      <c r="L52" s="10"/>
      <c r="M52" s="16"/>
      <c r="N52" s="16"/>
    </row>
    <row r="53" ht="15.0" customHeight="1">
      <c r="A53" s="45">
        <v>9.0</v>
      </c>
      <c r="B53" s="56" t="s">
        <v>151</v>
      </c>
      <c r="C53" s="12"/>
      <c r="D53" s="10" t="s">
        <v>46</v>
      </c>
      <c r="E53" s="13" t="s">
        <v>152</v>
      </c>
      <c r="F53" s="10" t="s">
        <v>153</v>
      </c>
      <c r="G53" s="41" t="s">
        <v>154</v>
      </c>
      <c r="H53" s="14" t="s">
        <v>155</v>
      </c>
      <c r="I53" s="15"/>
      <c r="J53" s="10"/>
      <c r="K53" s="10"/>
      <c r="L53" s="10"/>
      <c r="M53" s="16"/>
      <c r="N53" s="10"/>
    </row>
    <row r="54" ht="15.0" customHeight="1">
      <c r="A54" s="45">
        <v>10.0</v>
      </c>
      <c r="B54" s="56" t="s">
        <v>156</v>
      </c>
      <c r="C54" s="12"/>
      <c r="D54" s="10" t="s">
        <v>157</v>
      </c>
      <c r="E54" s="13" t="s">
        <v>152</v>
      </c>
      <c r="F54" s="10" t="s">
        <v>158</v>
      </c>
      <c r="G54" s="41" t="s">
        <v>48</v>
      </c>
      <c r="H54" s="14" t="s">
        <v>159</v>
      </c>
      <c r="I54" s="58"/>
      <c r="J54" s="16"/>
      <c r="K54" s="16"/>
      <c r="L54" s="16"/>
      <c r="M54" s="16"/>
      <c r="N54" s="16"/>
    </row>
    <row r="55" ht="15.0" customHeight="1">
      <c r="A55" s="45">
        <v>11.0</v>
      </c>
      <c r="B55" s="56" t="s">
        <v>160</v>
      </c>
      <c r="C55" s="12"/>
      <c r="D55" s="10" t="s">
        <v>161</v>
      </c>
      <c r="E55" s="13" t="s">
        <v>152</v>
      </c>
      <c r="F55" s="19" t="s">
        <v>162</v>
      </c>
      <c r="G55" s="41" t="s">
        <v>48</v>
      </c>
      <c r="H55" s="23" t="s">
        <v>163</v>
      </c>
      <c r="I55" s="10"/>
      <c r="J55" s="10"/>
      <c r="K55" s="16"/>
      <c r="L55" s="10"/>
      <c r="M55" s="10"/>
      <c r="N55" s="16"/>
    </row>
    <row r="56" ht="15.0" customHeight="1">
      <c r="A56" s="45">
        <v>12.0</v>
      </c>
      <c r="B56" s="56" t="s">
        <v>164</v>
      </c>
      <c r="C56" s="12"/>
      <c r="D56" s="10" t="s">
        <v>79</v>
      </c>
      <c r="E56" s="13" t="s">
        <v>22</v>
      </c>
      <c r="F56" s="17" t="s">
        <v>80</v>
      </c>
      <c r="G56" s="15" t="s">
        <v>81</v>
      </c>
      <c r="H56" s="32" t="s">
        <v>82</v>
      </c>
      <c r="I56" s="33" t="str">
        <f>HYPERLINK("http://itaigi.tw/","http://itaigi.tw/")</f>
        <v>http://itaigi.tw/</v>
      </c>
      <c r="J56" s="10" t="s">
        <v>83</v>
      </c>
      <c r="K56" s="10" t="s">
        <v>84</v>
      </c>
      <c r="L56" s="10"/>
      <c r="M56" s="14" t="s">
        <v>165</v>
      </c>
      <c r="N56" s="16"/>
    </row>
    <row r="57" ht="15.0" customHeight="1">
      <c r="A57" s="45">
        <v>13.0</v>
      </c>
      <c r="B57" s="56" t="s">
        <v>166</v>
      </c>
      <c r="C57" s="53"/>
      <c r="D57" s="10" t="s">
        <v>35</v>
      </c>
      <c r="E57" s="13" t="s">
        <v>22</v>
      </c>
      <c r="F57" s="10" t="s">
        <v>167</v>
      </c>
      <c r="G57" s="41"/>
      <c r="H57" s="15"/>
      <c r="I57" s="10"/>
      <c r="J57" s="10"/>
      <c r="K57" s="10"/>
      <c r="L57" s="10"/>
      <c r="M57" s="16"/>
      <c r="N57" s="16"/>
    </row>
    <row r="58" ht="15.0" customHeight="1">
      <c r="A58" s="59"/>
      <c r="B58" s="60"/>
      <c r="C58" s="60"/>
      <c r="D58" s="61" t="s">
        <v>168</v>
      </c>
      <c r="E58" s="59"/>
      <c r="F58" s="59"/>
      <c r="G58" s="59"/>
      <c r="H58" s="59"/>
      <c r="I58" s="59"/>
      <c r="J58" s="59"/>
      <c r="K58" s="59"/>
      <c r="L58" s="59"/>
      <c r="M58" s="59"/>
      <c r="N58" s="59"/>
    </row>
  </sheetData>
  <mergeCells count="5">
    <mergeCell ref="A1:K1"/>
    <mergeCell ref="A3:N3"/>
    <mergeCell ref="A4:K4"/>
    <mergeCell ref="A32:N32"/>
    <mergeCell ref="A44:N44"/>
  </mergeCells>
  <hyperlinks>
    <hyperlink r:id="rId1" ref="A4"/>
    <hyperlink r:id="rId2" ref="F5"/>
    <hyperlink r:id="rId3" ref="H14"/>
    <hyperlink r:id="rId4" ref="I14"/>
    <hyperlink r:id="rId5" ref="L14"/>
    <hyperlink r:id="rId6" ref="H17"/>
    <hyperlink r:id="rId7" ref="I17"/>
    <hyperlink r:id="rId8" ref="H18"/>
    <hyperlink r:id="rId9" ref="H19"/>
    <hyperlink r:id="rId10" ref="I19"/>
    <hyperlink r:id="rId11" ref="H20"/>
    <hyperlink r:id="rId12" ref="I20"/>
    <hyperlink r:id="rId13" ref="H21"/>
    <hyperlink r:id="rId14" ref="H22"/>
    <hyperlink r:id="rId15" ref="I22"/>
    <hyperlink r:id="rId16" ref="H23"/>
    <hyperlink r:id="rId17" ref="I23"/>
    <hyperlink r:id="rId18" ref="H24"/>
    <hyperlink r:id="rId19" ref="I24"/>
    <hyperlink r:id="rId20" location="iTaigi" ref="H25"/>
    <hyperlink r:id="rId21" ref="H26"/>
    <hyperlink r:id="rId22" ref="I26"/>
    <hyperlink r:id="rId23" ref="H27"/>
    <hyperlink r:id="rId24" ref="I37"/>
    <hyperlink r:id="rId25" ref="I45"/>
    <hyperlink r:id="rId26" ref="N45"/>
    <hyperlink r:id="rId27" ref="H46"/>
    <hyperlink r:id="rId28" ref="I46"/>
    <hyperlink r:id="rId29" ref="H47"/>
    <hyperlink r:id="rId30" location="gid=0" ref="I47"/>
    <hyperlink r:id="rId31" ref="H48"/>
    <hyperlink r:id="rId32" ref="I48"/>
    <hyperlink r:id="rId33" ref="M48"/>
    <hyperlink r:id="rId34" ref="N48"/>
    <hyperlink r:id="rId35" ref="H49"/>
    <hyperlink r:id="rId36" ref="M49"/>
    <hyperlink r:id="rId37" ref="N49"/>
    <hyperlink r:id="rId38" ref="H50"/>
    <hyperlink r:id="rId39" ref="I50"/>
    <hyperlink r:id="rId40" location=":h=今日討論-recap" ref="H51"/>
    <hyperlink r:id="rId41" ref="H53"/>
    <hyperlink r:id="rId42" ref="H54"/>
    <hyperlink r:id="rId43" ref="H55"/>
    <hyperlink r:id="rId44" location="iTaigi" ref="H56"/>
    <hyperlink r:id="rId45" ref="M56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62">
        <v>107.0</v>
      </c>
      <c r="J1" s="62">
        <v>101.0</v>
      </c>
      <c r="Q1" s="63">
        <v>108.0</v>
      </c>
    </row>
    <row r="2" ht="39.0" customHeight="1">
      <c r="A2" s="53"/>
      <c r="B2" s="64" t="s">
        <v>169</v>
      </c>
      <c r="C2" s="65"/>
      <c r="D2" s="65"/>
      <c r="E2" s="65"/>
      <c r="F2" s="65"/>
      <c r="G2" s="66"/>
      <c r="H2" s="53"/>
      <c r="I2" s="53"/>
      <c r="J2" s="67" t="s">
        <v>170</v>
      </c>
      <c r="K2" s="65"/>
      <c r="L2" s="65"/>
      <c r="M2" s="65"/>
      <c r="N2" s="65"/>
      <c r="O2" s="53"/>
      <c r="P2" s="53"/>
      <c r="Q2" s="68" t="s">
        <v>171</v>
      </c>
      <c r="R2" s="53"/>
      <c r="S2" s="68" t="s">
        <v>170</v>
      </c>
      <c r="V2" s="53"/>
    </row>
    <row r="3" ht="39.0" customHeight="1">
      <c r="A3" s="69"/>
      <c r="B3" s="70"/>
      <c r="C3" s="70"/>
      <c r="D3" s="70"/>
      <c r="E3" s="70"/>
      <c r="F3" s="70"/>
      <c r="G3" s="71"/>
      <c r="H3" s="72"/>
      <c r="I3" s="69"/>
      <c r="J3" s="70"/>
      <c r="K3" s="73"/>
      <c r="M3" s="73"/>
      <c r="N3" s="70"/>
      <c r="O3" s="72"/>
      <c r="P3" s="53"/>
      <c r="Q3" s="70"/>
      <c r="R3" s="70"/>
      <c r="S3" s="70"/>
      <c r="T3" s="70"/>
      <c r="U3" s="70"/>
      <c r="V3" s="53"/>
    </row>
    <row r="4" ht="39.0" customHeight="1">
      <c r="A4" s="69"/>
      <c r="B4" s="70"/>
      <c r="C4" s="17" t="s">
        <v>47</v>
      </c>
      <c r="D4" s="70"/>
      <c r="E4" s="70"/>
      <c r="F4" s="70"/>
      <c r="G4" s="74" t="s">
        <v>172</v>
      </c>
      <c r="H4" s="72"/>
      <c r="I4" s="69"/>
      <c r="J4" s="70"/>
      <c r="K4" s="70"/>
      <c r="L4" s="10" t="s">
        <v>60</v>
      </c>
      <c r="M4" s="75"/>
      <c r="N4" s="70"/>
      <c r="O4" s="72"/>
      <c r="P4" s="53"/>
      <c r="Q4" s="70"/>
      <c r="R4" s="70"/>
      <c r="S4" s="73"/>
      <c r="T4" s="75"/>
      <c r="U4" s="73"/>
      <c r="V4" s="53"/>
    </row>
    <row r="5" ht="39.0" customHeight="1">
      <c r="A5" s="69"/>
      <c r="B5" s="70"/>
      <c r="C5" s="70"/>
      <c r="D5" s="70"/>
      <c r="E5" s="70"/>
      <c r="F5" s="70"/>
      <c r="G5" s="70"/>
      <c r="H5" s="72"/>
      <c r="I5" s="69"/>
      <c r="J5" s="70"/>
      <c r="K5" s="70"/>
      <c r="L5" s="73"/>
      <c r="M5" s="70"/>
      <c r="N5" s="73"/>
      <c r="O5" s="72"/>
      <c r="P5" s="53"/>
      <c r="Q5" s="70"/>
      <c r="R5" s="70"/>
      <c r="S5" s="73"/>
      <c r="T5" s="70"/>
      <c r="U5" s="70"/>
      <c r="V5" s="53"/>
    </row>
    <row r="6" ht="39.0" customHeight="1">
      <c r="A6" s="69"/>
      <c r="B6" s="70"/>
      <c r="C6" s="70"/>
      <c r="D6" s="70"/>
      <c r="E6" s="75"/>
      <c r="F6" s="70"/>
      <c r="G6" s="71"/>
      <c r="H6" s="72"/>
      <c r="I6" s="69"/>
      <c r="J6" s="70"/>
      <c r="K6" s="70"/>
      <c r="L6" s="73"/>
      <c r="M6" s="70"/>
      <c r="N6" s="70"/>
      <c r="O6" s="72"/>
      <c r="P6" s="53"/>
      <c r="Q6" s="70"/>
      <c r="R6" s="70"/>
      <c r="S6" s="73"/>
      <c r="T6" s="70"/>
      <c r="U6" s="70"/>
      <c r="V6" s="53"/>
    </row>
    <row r="7" ht="39.0" customHeight="1">
      <c r="A7" s="69"/>
      <c r="B7" s="70"/>
      <c r="C7" s="76"/>
      <c r="D7" s="70"/>
      <c r="E7" s="70"/>
      <c r="F7" s="70"/>
      <c r="G7" s="74" t="s">
        <v>171</v>
      </c>
      <c r="H7" s="72"/>
      <c r="I7" s="69"/>
      <c r="J7" s="70"/>
      <c r="K7" s="73" t="s">
        <v>173</v>
      </c>
      <c r="L7" s="73"/>
      <c r="M7" s="73" t="s">
        <v>174</v>
      </c>
      <c r="N7" s="70"/>
      <c r="O7" s="72"/>
      <c r="P7" s="53"/>
      <c r="Q7" s="70"/>
      <c r="R7" s="70"/>
      <c r="S7" s="73"/>
      <c r="T7" s="70"/>
      <c r="U7" s="70"/>
      <c r="V7" s="53"/>
    </row>
    <row r="8" ht="39.0" customHeight="1">
      <c r="A8" s="69"/>
      <c r="B8" s="70"/>
      <c r="C8" s="77"/>
      <c r="D8" s="70"/>
      <c r="E8" s="70"/>
      <c r="F8" s="70"/>
      <c r="G8" s="70"/>
      <c r="H8" s="78"/>
      <c r="I8" s="79" t="s">
        <v>171</v>
      </c>
      <c r="J8" s="70"/>
      <c r="K8" s="70"/>
      <c r="L8" s="73"/>
      <c r="M8" s="80" t="s">
        <v>175</v>
      </c>
      <c r="N8" s="70"/>
      <c r="O8" s="72"/>
      <c r="P8" s="53"/>
      <c r="Q8" s="70"/>
      <c r="R8" s="70"/>
      <c r="S8" s="75"/>
      <c r="T8" s="70"/>
      <c r="U8" s="70"/>
      <c r="V8" s="53"/>
    </row>
    <row r="9" ht="39.0" customHeight="1">
      <c r="A9" s="69"/>
      <c r="B9" s="70"/>
      <c r="C9" s="70"/>
      <c r="D9" s="70"/>
      <c r="E9" s="70"/>
      <c r="F9" s="70"/>
      <c r="G9" s="70"/>
      <c r="H9" s="72"/>
      <c r="I9" s="69"/>
      <c r="J9" s="70"/>
      <c r="K9" s="70"/>
      <c r="L9" s="70"/>
      <c r="M9" s="70"/>
      <c r="N9" s="71"/>
      <c r="O9" s="72"/>
      <c r="P9" s="53"/>
      <c r="Q9" s="70"/>
      <c r="R9" s="70"/>
      <c r="S9" s="70"/>
      <c r="T9" s="70"/>
      <c r="U9" s="71"/>
      <c r="V9" s="53"/>
    </row>
    <row r="10" ht="39.0" customHeight="1">
      <c r="A10" s="53"/>
      <c r="B10" s="81"/>
      <c r="C10" s="81"/>
      <c r="D10" s="81"/>
      <c r="E10" s="81"/>
      <c r="F10" s="81"/>
      <c r="G10" s="81"/>
      <c r="H10" s="53"/>
      <c r="I10" s="53"/>
      <c r="J10" s="81"/>
      <c r="K10" s="81"/>
      <c r="L10" s="81"/>
      <c r="M10" s="81"/>
      <c r="N10" s="81"/>
      <c r="O10" s="53"/>
      <c r="P10" s="53"/>
      <c r="Q10" s="53"/>
      <c r="R10" s="53"/>
      <c r="S10" s="53"/>
      <c r="T10" s="53"/>
      <c r="U10" s="53"/>
      <c r="V10" s="53"/>
    </row>
    <row r="11" ht="39.0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ht="39.0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 ht="39.0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 ht="39.0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 ht="39.0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 ht="39.0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 ht="39.0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</row>
    <row r="18" ht="39.0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</row>
    <row r="19" ht="39.0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</row>
    <row r="20" ht="39.0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</row>
    <row r="21" ht="39.0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</row>
    <row r="22" ht="39.0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</row>
    <row r="23" ht="39.0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</row>
    <row r="24" ht="39.0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</row>
    <row r="25" ht="39.0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</row>
    <row r="26" ht="39.0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</row>
    <row r="27" ht="39.0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</row>
    <row r="28" ht="39.0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</row>
    <row r="29" ht="39.0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</row>
    <row r="30" ht="39.0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</row>
    <row r="31" ht="39.0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</row>
    <row r="32" ht="39.0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</row>
    <row r="33" ht="39.0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</row>
    <row r="34" ht="39.0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</row>
    <row r="35" ht="39.0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</row>
    <row r="36" ht="39.0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</row>
    <row r="37" ht="39.0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</row>
    <row r="38" ht="39.0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</row>
    <row r="39" ht="39.0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</row>
    <row r="40" ht="39.0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</row>
    <row r="41" ht="39.0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</row>
    <row r="42" ht="39.0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</row>
    <row r="43" ht="39.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</row>
    <row r="44" ht="39.0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</row>
    <row r="45" ht="39.0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</row>
    <row r="46" ht="39.0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</row>
    <row r="47" ht="39.0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</row>
    <row r="48" ht="39.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</row>
    <row r="49" ht="39.0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</row>
    <row r="50" ht="39.0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</row>
    <row r="51" ht="39.0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</row>
    <row r="52" ht="39.0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</row>
    <row r="53" ht="39.0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</row>
    <row r="54" ht="39.0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</row>
    <row r="55" ht="39.0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</row>
    <row r="56" ht="39.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</row>
    <row r="57" ht="39.0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</row>
    <row r="58" ht="39.0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 ht="39.0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 ht="39.0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</row>
    <row r="61" ht="39.0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</row>
    <row r="62" ht="39.0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 ht="39.0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 ht="39.0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 ht="39.0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ht="39.0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 ht="39.0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 ht="39.0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 ht="39.0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ht="39.0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ht="39.0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 ht="39.0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 ht="39.0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 ht="39.0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ht="39.0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ht="39.0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 ht="39.0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 ht="39.0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 ht="39.0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 ht="39.0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 ht="39.0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 ht="39.0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 ht="39.0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ht="39.0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 ht="39.0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ht="39.0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 ht="39.0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 ht="39.0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ht="39.0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ht="39.0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 ht="39.0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 ht="39.0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ht="39.0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 ht="39.0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 ht="39.0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 ht="39.0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 ht="39.0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 ht="39.0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 ht="39.0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 ht="39.0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 ht="39.0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</sheetData>
  <mergeCells count="6">
    <mergeCell ref="B1:F1"/>
    <mergeCell ref="J1:N1"/>
    <mergeCell ref="Q1:U1"/>
    <mergeCell ref="B2:F2"/>
    <mergeCell ref="J2:N2"/>
    <mergeCell ref="S2:U2"/>
  </mergeCells>
  <conditionalFormatting sqref="S8">
    <cfRule type="notContainsBlanks" dxfId="0" priority="1">
      <formula>LEN(TRIM(S8))&gt;0</formula>
    </cfRule>
  </conditionalFormatting>
  <drawing r:id="rId1"/>
</worksheet>
</file>