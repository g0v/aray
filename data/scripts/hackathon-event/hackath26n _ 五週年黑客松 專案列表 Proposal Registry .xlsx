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<sst xmlns="http://schemas.openxmlformats.org/spreadsheetml/2006/main" count="297" uniqueCount="229">
  <si>
    <t>4sz</t>
  </si>
  <si>
    <t>發表時間 / Time</t>
  </si>
  <si>
    <t>完成</t>
  </si>
  <si>
    <t>發表者 / Presenter</t>
  </si>
  <si>
    <t>錄影以 CC-BY 釋出？</t>
  </si>
  <si>
    <t>主題 / Topic</t>
  </si>
  <si>
    <t>Office Hour</t>
  </si>
  <si>
    <t>專案授權 / License</t>
  </si>
  <si>
    <t>共筆／討論連結 / Notes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</si>
  <si>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</si>
  <si>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</si>
  <si>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</si>
  <si>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</si>
  <si>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</si>
  <si>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</si>
  <si>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</si>
  <si>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Starts at 09:30, Presentation begins at 09:40, each propose presentation 3 min</t>
  </si>
  <si>
    <t>Ronny Wang</t>
  </si>
  <si>
    <t>yes</t>
  </si>
  <si>
    <t>拆解開放資料咨詢小組</t>
  </si>
  <si>
    <t>cc-by</t>
  </si>
  <si>
    <t>https://g0v.hackpad.tw/rfTpW5sFjkj</t>
  </si>
  <si>
    <t>https://docs.google.com/presentation/d/1-AvFvrQGiTRjoNsRs8H6FcSiQjBlvMfzK2foFKk_sLw/edit#slide=id.p</t>
  </si>
  <si>
    <t>開放資料、諮詢小組、gov</t>
  </si>
  <si>
    <t>資料整理者</t>
  </si>
  <si>
    <t>Hsu Weiyen</t>
  </si>
  <si>
    <t>JSonView(Android快速開發OPenData)</t>
  </si>
  <si>
    <t>Android、Eclipse、好懂好用</t>
  </si>
  <si>
    <t>行銷、測試</t>
  </si>
  <si>
    <t>goo.gl/EfyZ5n</t>
  </si>
  <si>
    <t>poga</t>
  </si>
  <si>
    <t>公民科技的資料保存與分析 civic-notebook</t>
  </si>
  <si>
    <t>MIT</t>
  </si>
  <si>
    <t>https://hackmd.io/CwI2FYAYBMDMGYC0l72I4wDG6AcBOYfRAQ0hAEYB2C6cANnywqA=</t>
  </si>
  <si>
    <t>https://github.com/poga/civic-notebook</t>
  </si>
  <si>
    <t>資料、備份、去中心化</t>
  </si>
  <si>
    <t>資料分析、開發者</t>
  </si>
  <si>
    <t>Maggie Sheu</t>
  </si>
  <si>
    <t>共享關心(Justwithin)</t>
  </si>
  <si>
    <t>https://g0v.hackpad.tw/Justwithin-dQ4KZ1vHxwX</t>
  </si>
  <si>
    <t>www.justwithin.org</t>
  </si>
  <si>
    <t xml:space="preserve">國際張老師 </t>
  </si>
  <si>
    <t>front-end engineers, iOS app, Journalists, 導演, 喜歡設計和外語都可以來～</t>
  </si>
  <si>
    <t>https://docs.google.com/file/d/0B9cy3x3euSx3TmtXWnFqZDdfbG8/edit?usp=docslist_api&amp;filetype=mspresentation</t>
  </si>
  <si>
    <t>Yuren Ju</t>
  </si>
  <si>
    <t>工時紀錄上區塊鏈 (punch card on blockchain)</t>
  </si>
  <si>
    <t>https://g0v.hackpad.tw/hqQGdzE8KJn</t>
  </si>
  <si>
    <t>https://docs.google.com/presentation/d/1kXLSx6eW1SJxFoIXZrGQ730NUPWZfoiXqICvjVO3TjE/edit?usp=sharing</t>
  </si>
  <si>
    <t>勞工、區塊鏈</t>
  </si>
  <si>
    <t>區塊鏈、企劃，勞工專家</t>
  </si>
  <si>
    <t>Jeff</t>
  </si>
  <si>
    <t>Yes</t>
  </si>
  <si>
    <t>工商寶(公司設立輔助工具</t>
  </si>
  <si>
    <t>https://goo.gl/9FxooG</t>
  </si>
  <si>
    <t>公司設立、word</t>
  </si>
  <si>
    <t>後端、法律專業、熟悉公司法或公司設立流程之高手</t>
  </si>
  <si>
    <t>小蟹</t>
  </si>
  <si>
    <t>阿美語萌典(O citing no AMIS)</t>
  </si>
  <si>
    <t>https://amis.moedict.tw/</t>
  </si>
  <si>
    <t>阿美語、台灣原住民語與南島語、台灣原住民族文化</t>
  </si>
  <si>
    <t>前端、後端、資料打字小幫手、設計</t>
  </si>
  <si>
    <t>https://docs.google.com/presentation/d/1PUlcam9_lL49nhLEEpcDr3w7qlM-fOYO7yL2pm9k-sM/edit?usp=sharing</t>
  </si>
  <si>
    <t xml:space="preserve">chewei </t>
  </si>
  <si>
    <t>公有地大行賄 / 公有地大行動</t>
  </si>
  <si>
    <t>https://g0v.hackpad.tw/1KopENAUlH6</t>
  </si>
  <si>
    <t>https://goo.gl/BwHvwo</t>
  </si>
  <si>
    <t>公有地、行賄、司法案件</t>
  </si>
  <si>
    <t>對於「公有資產與行賄」有興趣的人（？）</t>
  </si>
  <si>
    <t>徐正樺</t>
  </si>
  <si>
    <t>臉書陣亡者聯盟</t>
  </si>
  <si>
    <t>CC0</t>
  </si>
  <si>
    <t>臉書,帳號停權,自救系統</t>
  </si>
  <si>
    <t>李振北</t>
  </si>
  <si>
    <t>企業永續資訊平台（Corporate Social Responsibility）</t>
  </si>
  <si>
    <t>https://docs.google.com/presentation/d/1pJxGkVfh_mNRdNAePLVwnWjVSg6iKggzJcGm3KMJD-o/edit?usp=sharing</t>
  </si>
  <si>
    <t>開放CSR（企業社會責任）資料、PDF爬蟲、XBRL線上表單</t>
  </si>
  <si>
    <t>前端、後端、設計、資料分析</t>
  </si>
  <si>
    <t>mrorz</t>
  </si>
  <si>
    <t>yesss</t>
  </si>
  <si>
    <t>Cofacts / 真的假的 LINE bot</t>
  </si>
  <si>
    <t>Code = MIT
Database = CC0</t>
  </si>
  <si>
    <t xml:space="preserve">
beta.hackfoldr.org/cofacts</t>
  </si>
  <si>
    <t>cofacts.g0v.tw</t>
  </si>
  <si>
    <t>Fact-checking, crowd-sourcing, chat bot</t>
  </si>
  <si>
    <t>會 google 的人</t>
  </si>
  <si>
    <t>https://drive.google.com/open?id=1Ih_BJfXevVz2DcjleSUrI7SL5XMN20IDhrkNEQGdycg</t>
  </si>
  <si>
    <t>樣板劇逐字稿計畫</t>
  </si>
  <si>
    <t>https://hackmd.io/c/ry2TPHV9W/%2Fs%2FBkkpi4uqb</t>
  </si>
  <si>
    <t>逐字稿、markdown、文字</t>
  </si>
  <si>
    <t>看得懂簡體、會螢幕截圖、會用 markdown (hackmd)</t>
  </si>
  <si>
    <t>https://docs.google.com/presentation/d/1MXQt7EJFtw9bx-v1rAve5aMr8GJUMjtofpcBiVESoeg/edit?usp=sharing</t>
  </si>
  <si>
    <t>許守傑</t>
  </si>
  <si>
    <t>都市更新天眼通</t>
  </si>
  <si>
    <t>CC</t>
  </si>
  <si>
    <t>https://urban-renewal.herokuapp.com/</t>
  </si>
  <si>
    <t>https://www.slideshare.net/JasonHsu56/ss-78293143?ref=https://www.slideshare.net/JasonHsu56/slideshelf</t>
  </si>
  <si>
    <t>都更  都市更新  資料視覺化</t>
  </si>
  <si>
    <t>front end developer, data scientist, 對都市更新都市計畫有熱情者!</t>
  </si>
  <si>
    <t>蕭a</t>
  </si>
  <si>
    <t>國家寶藏</t>
  </si>
  <si>
    <t>http://beta.hackfoldr.org/national-treasures</t>
  </si>
  <si>
    <t>https://www.nationaltreasure.tw</t>
  </si>
  <si>
    <t>開放資料 歷史 群眾參與</t>
  </si>
  <si>
    <t>愛看英文史料的人 Javascript/React/RN 專案經理</t>
  </si>
  <si>
    <t>https://docs.google.com/presentation/d/1pD54KK2zfD_I9Uaojqcgi9BlnFd8_6CpJPxukaRDbE4/edit?usp=sharing</t>
  </si>
  <si>
    <t>Shen</t>
  </si>
  <si>
    <t>no</t>
  </si>
  <si>
    <t>我們都是李明哲</t>
  </si>
  <si>
    <t>https://hackmd.io/GYQwxmAmYgbAtMMBOApvALLAHAJntsMBvGAKywAM2a2YGylQA===</t>
  </si>
  <si>
    <t>https://docs.google.com/presentation/d/1d-kiD_b-MrWl3LNpIvGdjV8aXeVwZE_r-CA8uBAp3G4/edit#slide=id.g26381a553f_0_12</t>
  </si>
  <si>
    <t>李明哲、中國、維權</t>
  </si>
  <si>
    <t>前端、設計師、文字工</t>
  </si>
  <si>
    <t>子魚</t>
  </si>
  <si>
    <t>vTaiwan @ TAF</t>
  </si>
  <si>
    <t>https://g0v.hackpad.tw/vTaiwan-106.09.16--38bNZoqCDn4</t>
  </si>
  <si>
    <t>https://docs.google.com/presentation/d/1WuCDGCASI0F6Z9a5TkHxJSsiVKDJjot1vl9g4p8ptuM/edit?usp=sharing</t>
  </si>
  <si>
    <t>vTaiwan、法規調適</t>
  </si>
  <si>
    <t>法律、行銷</t>
  </si>
  <si>
    <t>雨蒼</t>
  </si>
  <si>
    <t>「唐鳳做了什麼」預告！</t>
  </si>
  <si>
    <t>https://docs.google.com/presentation/d/1xxnHE60LkX0JL31Ob-wqSS4sBL8N8PzByWfUzd4y40k/edit?usp=sharing</t>
  </si>
  <si>
    <t>下午一點</t>
  </si>
  <si>
    <t>錄影、公民記者、想問問題的人</t>
  </si>
  <si>
    <t>Terix</t>
  </si>
  <si>
    <t>黑農松</t>
  </si>
  <si>
    <t>https://www.facebook.com/groups/472962446424371/</t>
  </si>
  <si>
    <t>https://drive.google.com/open?id=0B5u8cSzbVq4WZ3BuZG4xSzJSWVU</t>
  </si>
  <si>
    <t>農委會、小農、土地</t>
  </si>
  <si>
    <t>揪團打怪，願意一起跟小農合作，透過現有開源應用，創造更多的可能</t>
  </si>
  <si>
    <t>Facebook社團：黑農松籌備小組 // 黑客X青農交流區</t>
  </si>
  <si>
    <t>== 截止 ==</t>
  </si>
  <si>
    <t>【餐盤一人只有一個，請珍惜簽名重複利用～ ❤️】</t>
  </si>
  <si>
    <r>
      <rPr>
        <b/>
        <color rgb="FFFFFFFF"/>
        <sz val="17.0"/>
      </rPr>
      <t xml:space="preserve">14:00-14:40【 g0v 獎助金】2017 年秋季獲獎專案分享，每組 5 分鐘
g0v Grant awardees project demo, 5 min each
</t>
    </r>
    <r>
      <rPr>
        <b/>
        <color rgb="FFFF0000"/>
        <sz val="17.0"/>
      </rPr>
      <t>㊡㊡㊡ 本期沒有短講 ㊡㊡㊡</t>
    </r>
  </si>
  <si>
    <t>順序</t>
  </si>
  <si>
    <t>發表時間（自填）</t>
  </si>
  <si>
    <t>發表者</t>
  </si>
  <si>
    <t>錄影以 CC-BY 釋出?</t>
  </si>
  <si>
    <t>主題</t>
  </si>
  <si>
    <t>相關連結</t>
  </si>
  <si>
    <t>三個關鍵字</t>
  </si>
  <si>
    <t>專案徵人</t>
  </si>
  <si>
    <t>g0v 揪松團</t>
  </si>
  <si>
    <t>開場</t>
  </si>
  <si>
    <t>caasi</t>
  </si>
  <si>
    <t>Y</t>
  </si>
  <si>
    <t>YA0H: Yet Another g0v Hub</t>
  </si>
  <si>
    <t>github.com/g0v/ambassador</t>
  </si>
  <si>
    <t>gavin</t>
  </si>
  <si>
    <t>LostSAR-搜救</t>
  </si>
  <si>
    <t>https://goo.gl/3qDrKh</t>
  </si>
  <si>
    <t>https://hackmd.io/p/SJ418TQO-#/</t>
  </si>
  <si>
    <t>beacon.gps軌跡.無人機追蹤</t>
  </si>
  <si>
    <t>熱血工程師、宣傳、設計</t>
  </si>
  <si>
    <t>Shaw Wu</t>
  </si>
  <si>
    <t>阿龜誌—農務紀錄好幫手</t>
  </si>
  <si>
    <t>http://www.openhackfarm.tw/</t>
  </si>
  <si>
    <t>https://www.facebook.com/agriweather/</t>
  </si>
  <si>
    <t>農業科技、阿龜、田間紀錄</t>
  </si>
  <si>
    <t>寫系統、寫web、田間紀錄編修、小編、計畫整理</t>
  </si>
  <si>
    <t>https://drive.google.com/open?id=0B0aaIwtO3s-pTnpXMk5QS0ZuN28</t>
  </si>
  <si>
    <t>洪申翰</t>
  </si>
  <si>
    <t>台灣企業集團母子公司關係與環境社會責任</t>
  </si>
  <si>
    <t>git@github.com:starsdog/companyParser.git</t>
  </si>
  <si>
    <t>stephan</t>
  </si>
  <si>
    <t>享食雲 http://foodsharing.tw/</t>
  </si>
  <si>
    <t>https://github.com/yunity/karrot-frontend</t>
  </si>
  <si>
    <t>https://www.facebook.com/foodsharingtaiwan</t>
  </si>
  <si>
    <t>食物分享</t>
  </si>
  <si>
    <t>coders (framework: AngularJS fronted with a Django API server), web designer</t>
  </si>
  <si>
    <t>許亞傑</t>
  </si>
  <si>
    <t>美國國會台灣觀測站</t>
  </si>
  <si>
    <t>https://taiwan-watch-slack-invite.herokuapp.com/</t>
  </si>
  <si>
    <t>https://docs.google.com/presentation/d/1CErdMbJ2zynaYbKTgGiWPe0EM9zim1k5qDIsKkhHbRQ/edit#slide=id.g1ffd21a43e_0_550</t>
  </si>
  <si>
    <t>本期不開放短講</t>
  </si>
  <si>
    <t>17:00【 present project】 規則
每個 present 5min，可視 project 數量和剩餘時間調整</t>
  </si>
  <si>
    <t>施旭峰</t>
  </si>
  <si>
    <t>阿龜誌</t>
  </si>
  <si>
    <t>JsonView</t>
  </si>
  <si>
    <t xml:space="preserve">goo.gl/VUggg3
</t>
  </si>
  <si>
    <t>YES</t>
  </si>
  <si>
    <t>「唐鳳做什麼」成果</t>
  </si>
  <si>
    <t>cc0</t>
  </si>
  <si>
    <t>https://docs.google.com/presentation/d/1GftCjuYeKGguHVoCIq3Qm44szfkfoOn9J9NvzcRIUBw/edit#slide=id.g26393b6eaa_0_72</t>
  </si>
  <si>
    <t>工商寶(公司設立輔助工具)</t>
  </si>
  <si>
    <t>17:20</t>
  </si>
  <si>
    <t>Ellen and 小草</t>
  </si>
  <si>
    <t>Itaigi 愛台語</t>
  </si>
  <si>
    <t>https://itaigi.tw
https://www.facebook.com/pg/ukauitaigi</t>
  </si>
  <si>
    <t>台語 語音合成 口語詞典</t>
  </si>
  <si>
    <t>17:25</t>
  </si>
  <si>
    <t>Mohammad</t>
  </si>
  <si>
    <t>Jamnevisi(CrowdLaw)</t>
  </si>
  <si>
    <t>http://jamnevisi.ir/home</t>
  </si>
  <si>
    <t>Crowd-sourcing, Legislation, Iran</t>
  </si>
  <si>
    <t>17:30</t>
  </si>
  <si>
    <t>企業永續資訊平台</t>
  </si>
  <si>
    <t>17:35</t>
  </si>
  <si>
    <t>Huang</t>
  </si>
  <si>
    <t>No</t>
  </si>
  <si>
    <t>李明哲</t>
  </si>
  <si>
    <t>https://plotdb.io/v/chart/14498</t>
  </si>
  <si>
    <t>https://www.easel.ly/infographic/2fcvkq</t>
  </si>
  <si>
    <t>17:40</t>
  </si>
  <si>
    <t>Hal Seki</t>
  </si>
  <si>
    <t>Code for Japan</t>
  </si>
  <si>
    <t>Civic tech in Japan</t>
  </si>
  <si>
    <t>https://speakerdeck.com/codeforjapan/code-for-japan-the-network-for-the-people-who-think-together-create-together</t>
  </si>
  <si>
    <t>17:45</t>
  </si>
  <si>
    <t>Jia Li</t>
  </si>
  <si>
    <t>Open Development Myanmar</t>
  </si>
  <si>
    <t>https://github.com/OpenDevelopmentMekong</t>
  </si>
  <si>
    <t>opendevelopmentmyanmar.net</t>
  </si>
  <si>
    <t>17:50</t>
  </si>
  <si>
    <t>ggm</t>
  </si>
  <si>
    <t>_x0008_Cofacts</t>
  </si>
  <si>
    <t>17:55</t>
  </si>
  <si>
    <t>johnson</t>
  </si>
  <si>
    <t>樣板劇逐字稿</t>
  </si>
  <si>
    <t>LostSAR</t>
  </si>
  <si>
    <t>https://goo.gl/4amB46</t>
  </si>
  <si>
    <t>ronny</t>
  </si>
  <si>
    <t>拆解開放資料諮詢小組</t>
  </si>
  <si>
    <t>https://docs.google.com/spreadsheets/d/1s2l8d4E5tfDXQlam7BJXWD0YTTcwKT5mhVXp250DIXM/edit#gid=0</t>
  </si>
  <si>
    <t>活動結束後請大家幫忙將椅子歸位 _x0008_❤️
Please kindly help stacking the chairs aside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</si>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</sst>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9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color rgb="FF0000FF"/>
    </font>
    <font>
      <u/>
      <color rgb="FF0000FF"/>
    </font>
    <font>
      <sz val="10.0"/>
    </font>
    <font>
      <u/>
      <color rgb="FF0000FF"/>
    </font>
    <font>
      <u/>
      <color rgb="FF0000FF"/>
    </font>
    <font>
      <name val="Arial"/>
    </font>
    <font>
      <sz val="10.0"/>
      <color rgb="FF000000"/>
      <name val="ProximaNova-Semibold"/>
    </font>
    <font>
      <u/>
      <sz val="10.0"/>
      <color rgb="FF0000FF"/>
    </font>
    <font>
      <u/>
      <color rgb="FF0000FF"/>
    </font>
    <font>
      <u/>
      <color rgb="FF0000FF"/>
    </font>
    <font>
      <b/>
      <sz val="17.0"/>
      <color rgb="FFFFFFFF"/>
    </font>
    <font>
      <sz val="11.0"/>
      <color rgb="FF000000"/>
      <name val="Arial"/>
    </font>
    <font>
      <u/>
      <color rgb="FF0000FF"/>
    </font>
    <font>
      <u/>
      <sz val="12.0"/>
      <color rgb="FF0000FF"/>
    </font>
    <font>
      <u/>
      <color rgb="FF000000"/>
    </font>
    <font>
      <sz val="11.0"/>
      <color rgb="FF2B80B9"/>
    </font>
    <font>
      <color rgb="FF000000"/>
      <name val="Arial"/>
    </font>
    <font>
      <b/>
    </font>
    <font>
      <sz val="14.0"/>
    </font>
    <font>
      <sz val="12.0"/>
    </font>
    <font>
      <sz val="6.0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wrapText="1"/>
    </xf>
    <xf borderId="0" fillId="3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5" fontId="14" numFmtId="0" xfId="0" applyAlignment="1" applyFont="1">
      <alignment readingOrder="0" shrinkToFit="0" vertical="center" wrapText="1"/>
    </xf>
    <xf borderId="0" fillId="5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readingOrder="0" shrinkToFit="0" vertical="center" wrapText="1"/>
    </xf>
    <xf borderId="0" fillId="6" fontId="17" numFmtId="0" xfId="0" applyAlignment="1" applyFill="1" applyFont="1">
      <alignment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7" fontId="18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0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8" fontId="7" numFmtId="0" xfId="0" applyAlignment="1" applyFill="1" applyFont="1">
      <alignment shrinkToFit="0" vertical="center" wrapText="1"/>
    </xf>
    <xf borderId="0" fillId="8" fontId="10" numFmtId="0" xfId="0" applyAlignment="1" applyFont="1">
      <alignment horizontal="center" readingOrder="0" shrinkToFit="0" vertical="center" wrapText="1"/>
    </xf>
    <xf borderId="0" fillId="8" fontId="7" numFmtId="0" xfId="0" applyAlignment="1" applyFont="1">
      <alignment horizontal="center" shrinkToFit="0" vertical="center" wrapText="1"/>
    </xf>
    <xf quotePrefix="1" borderId="0" fillId="8" fontId="10" numFmtId="0" xfId="0" applyAlignment="1" applyFont="1">
      <alignment horizontal="center" readingOrder="0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9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23" numFmtId="0" xfId="0" applyAlignment="1" applyFont="1">
      <alignment readingOrder="0" shrinkToFit="0" wrapText="1"/>
    </xf>
    <xf borderId="0" fillId="5" fontId="10" numFmtId="0" xfId="0" applyAlignment="1" applyFont="1">
      <alignment horizontal="left" readingOrder="0" shrinkToFit="0" wrapText="1"/>
    </xf>
    <xf borderId="0" fillId="5" fontId="10" numFmtId="0" xfId="0" applyAlignment="1" applyFont="1">
      <alignment readingOrder="0" shrinkToFit="0" wrapText="1"/>
    </xf>
    <xf borderId="0" fillId="5" fontId="24" numFmtId="0" xfId="0" applyAlignment="1" applyFont="1">
      <alignment horizontal="left" readingOrder="0" shrinkToFit="0" wrapText="1"/>
    </xf>
    <xf borderId="0" fillId="10" fontId="7" numFmtId="0" xfId="0" applyAlignment="1" applyFill="1" applyFont="1">
      <alignment shrinkToFit="0" vertical="center" wrapText="1"/>
    </xf>
    <xf borderId="0" fillId="10" fontId="7" numFmtId="0" xfId="0" applyAlignment="1" applyFont="1">
      <alignment horizontal="center" shrinkToFit="0" vertical="center" wrapText="1"/>
    </xf>
    <xf borderId="0" fillId="10" fontId="7" numFmtId="0" xfId="0" applyAlignment="1" applyFont="1">
      <alignment readingOrder="0" shrinkToFit="0" vertical="center" wrapText="1"/>
    </xf>
    <xf borderId="0" fillId="10" fontId="2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8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24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agriweather/" TargetMode="External"/><Relationship Id="rId42" Type="http://schemas.openxmlformats.org/officeDocument/2006/relationships/hyperlink" Target="https://github.com/yunity/karrot-frontend" TargetMode="External"/><Relationship Id="rId41" Type="http://schemas.openxmlformats.org/officeDocument/2006/relationships/hyperlink" Target="https://drive.google.com/open?id=0B0aaIwtO3s-pTnpXMk5QS0ZuN28" TargetMode="External"/><Relationship Id="rId44" Type="http://schemas.openxmlformats.org/officeDocument/2006/relationships/hyperlink" Target="https://taiwan-watch-slack-invite.herokuapp.com/" TargetMode="External"/><Relationship Id="rId43" Type="http://schemas.openxmlformats.org/officeDocument/2006/relationships/hyperlink" Target="https://www.facebook.com/foodsharingtaiwan" TargetMode="External"/><Relationship Id="rId46" Type="http://schemas.openxmlformats.org/officeDocument/2006/relationships/hyperlink" Target="http://goo.gl/VUggg3" TargetMode="External"/><Relationship Id="rId45" Type="http://schemas.openxmlformats.org/officeDocument/2006/relationships/hyperlink" Target="https://docs.google.com/presentation/d/1CErdMbJ2zynaYbKTgGiWPe0EM9zim1k5qDIsKkhHbRQ/edit" TargetMode="External"/><Relationship Id="rId1" Type="http://schemas.openxmlformats.org/officeDocument/2006/relationships/hyperlink" Target="https://g0v.hackpad.tw/rfTpW5sFjkj" TargetMode="External"/><Relationship Id="rId2" Type="http://schemas.openxmlformats.org/officeDocument/2006/relationships/hyperlink" Target="http://goo.gl/EfyZ5n" TargetMode="External"/><Relationship Id="rId3" Type="http://schemas.openxmlformats.org/officeDocument/2006/relationships/hyperlink" Target="https://hackmd.io/CwI2FYAYBMDMGYC0l72I4wDG6AcBOYfRAQ0hAEYB2C6cANnywqA=" TargetMode="External"/><Relationship Id="rId4" Type="http://schemas.openxmlformats.org/officeDocument/2006/relationships/hyperlink" Target="https://github.com/poga/civic-notebook" TargetMode="External"/><Relationship Id="rId9" Type="http://schemas.openxmlformats.org/officeDocument/2006/relationships/hyperlink" Target="https://docs.google.com/presentation/d/1kXLSx6eW1SJxFoIXZrGQ730NUPWZfoiXqICvjVO3TjE/edit?usp=sharing" TargetMode="External"/><Relationship Id="rId48" Type="http://schemas.openxmlformats.org/officeDocument/2006/relationships/hyperlink" Target="https://amis.moedict.tw/" TargetMode="External"/><Relationship Id="rId47" Type="http://schemas.openxmlformats.org/officeDocument/2006/relationships/hyperlink" Target="https://docs.google.com/presentation/d/1GftCjuYeKGguHVoCIq3Qm44szfkfoOn9J9NvzcRIUBw/edit" TargetMode="External"/><Relationship Id="rId49" Type="http://schemas.openxmlformats.org/officeDocument/2006/relationships/hyperlink" Target="https://docs.google.com/presentation/d/1PUlcam9_lL49nhLEEpcDr3w7qlM-fOYO7yL2pm9k-sM/edit?usp=sharing" TargetMode="External"/><Relationship Id="rId5" Type="http://schemas.openxmlformats.org/officeDocument/2006/relationships/hyperlink" Target="https://g0v.hackpad.tw/Justwithin-dQ4KZ1vHxwX" TargetMode="External"/><Relationship Id="rId6" Type="http://schemas.openxmlformats.org/officeDocument/2006/relationships/hyperlink" Target="http://www.justwithin.org" TargetMode="External"/><Relationship Id="rId7" Type="http://schemas.openxmlformats.org/officeDocument/2006/relationships/hyperlink" Target="https://docs.google.com/file/d/0B9cy3x3euSx3TmtXWnFqZDdfbG8/edit?usp=docslist_api&amp;filetype=mspresentation" TargetMode="External"/><Relationship Id="rId8" Type="http://schemas.openxmlformats.org/officeDocument/2006/relationships/hyperlink" Target="https://g0v.hackpad.tw/hqQGdzE8KJn" TargetMode="External"/><Relationship Id="rId31" Type="http://schemas.openxmlformats.org/officeDocument/2006/relationships/hyperlink" Target="https://docs.google.com/presentation/d/1WuCDGCASI0F6Z9a5TkHxJSsiVKDJjot1vl9g4p8ptuM/edit?usp=sharing" TargetMode="External"/><Relationship Id="rId30" Type="http://schemas.openxmlformats.org/officeDocument/2006/relationships/hyperlink" Target="https://g0v.hackpad.tw/vTaiwan-106.09.16--38bNZoqCDn4" TargetMode="External"/><Relationship Id="rId33" Type="http://schemas.openxmlformats.org/officeDocument/2006/relationships/hyperlink" Target="https://docs.google.com/presentation/d/1xxnHE60LkX0JL31Ob-wqSS4sBL8N8PzByWfUzd4y40k/edit?usp=sharing" TargetMode="External"/><Relationship Id="rId32" Type="http://schemas.openxmlformats.org/officeDocument/2006/relationships/hyperlink" Target="https://docs.google.com/presentation/d/1WuCDGCASI0F6Z9a5TkHxJSsiVKDJjot1vl9g4p8ptuM/edit?usp=sharing" TargetMode="External"/><Relationship Id="rId35" Type="http://schemas.openxmlformats.org/officeDocument/2006/relationships/hyperlink" Target="https://drive.google.com/open?id=0B5u8cSzbVq4WZ3BuZG4xSzJSWVU" TargetMode="External"/><Relationship Id="rId34" Type="http://schemas.openxmlformats.org/officeDocument/2006/relationships/hyperlink" Target="https://www.facebook.com/groups/472962446424371/" TargetMode="External"/><Relationship Id="rId37" Type="http://schemas.openxmlformats.org/officeDocument/2006/relationships/hyperlink" Target="https://goo.gl/3qDrKh" TargetMode="External"/><Relationship Id="rId36" Type="http://schemas.openxmlformats.org/officeDocument/2006/relationships/hyperlink" Target="http://github.com/g0v/ambassador" TargetMode="External"/><Relationship Id="rId39" Type="http://schemas.openxmlformats.org/officeDocument/2006/relationships/hyperlink" Target="http://www.openhackfarm.tw/" TargetMode="External"/><Relationship Id="rId38" Type="http://schemas.openxmlformats.org/officeDocument/2006/relationships/hyperlink" Target="https://hackmd.io/p/SJ418TQO-" TargetMode="External"/><Relationship Id="rId62" Type="http://schemas.openxmlformats.org/officeDocument/2006/relationships/hyperlink" Target="https://goo.gl/4amB46" TargetMode="External"/><Relationship Id="rId61" Type="http://schemas.openxmlformats.org/officeDocument/2006/relationships/hyperlink" Target="https://docs.google.com/presentation/d/1MXQt7EJFtw9bx-v1rAve5aMr8GJUMjtofpcBiVESoeg/edit?usp=sharing" TargetMode="External"/><Relationship Id="rId20" Type="http://schemas.openxmlformats.org/officeDocument/2006/relationships/hyperlink" Target="https://hackmd.io/c/ry2TPHV9W/%2Fs%2FBkkpi4uqb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docs.google.com/spreadsheets/d/1s2l8d4E5tfDXQlam7BJXWD0YTTcwKT5mhVXp250DIXM/edit" TargetMode="External"/><Relationship Id="rId22" Type="http://schemas.openxmlformats.org/officeDocument/2006/relationships/hyperlink" Target="https://docs.google.com/presentation/d/1MXQt7EJFtw9bx-v1rAve5aMr8GJUMjtofpcBiVESoeg/edit?usp=sharing" TargetMode="External"/><Relationship Id="rId21" Type="http://schemas.openxmlformats.org/officeDocument/2006/relationships/hyperlink" Target="https://hackmd.io/c/ry2TPHV9W/%2Fs%2FBkkpi4uqb" TargetMode="External"/><Relationship Id="rId24" Type="http://schemas.openxmlformats.org/officeDocument/2006/relationships/hyperlink" Target="https://www.slideshare.net/JasonHsu56/ss-78293143?ref=https://www.slideshare.net/JasonHsu56/slideshelf" TargetMode="External"/><Relationship Id="rId23" Type="http://schemas.openxmlformats.org/officeDocument/2006/relationships/hyperlink" Target="https://urban-renewal.herokuapp.com/" TargetMode="External"/><Relationship Id="rId60" Type="http://schemas.openxmlformats.org/officeDocument/2006/relationships/hyperlink" Target="https://hackmd.io/c/ry2TPHV9W/%2Fs%2FBkkpi4uqb" TargetMode="External"/><Relationship Id="rId26" Type="http://schemas.openxmlformats.org/officeDocument/2006/relationships/hyperlink" Target="https://www.nationaltreasure.tw" TargetMode="External"/><Relationship Id="rId25" Type="http://schemas.openxmlformats.org/officeDocument/2006/relationships/hyperlink" Target="http://beta.hackfoldr.org/national-treasures" TargetMode="External"/><Relationship Id="rId28" Type="http://schemas.openxmlformats.org/officeDocument/2006/relationships/hyperlink" Target="https://hackmd.io/GYQwxmAmYgbAtMMBOApvALLAHAJntsMBvGAKywAM2a2YGylQA===" TargetMode="External"/><Relationship Id="rId27" Type="http://schemas.openxmlformats.org/officeDocument/2006/relationships/hyperlink" Target="https://docs.google.com/presentation/d/1pD54KK2zfD_I9Uaojqcgi9BlnFd8_6CpJPxukaRDbE4/edit?usp=sharing" TargetMode="External"/><Relationship Id="rId29" Type="http://schemas.openxmlformats.org/officeDocument/2006/relationships/hyperlink" Target="https://docs.google.com/presentation/d/1d-kiD_b-MrWl3LNpIvGdjV8aXeVwZE_r-CA8uBAp3G4/edit" TargetMode="External"/><Relationship Id="rId51" Type="http://schemas.openxmlformats.org/officeDocument/2006/relationships/hyperlink" Target="https://plotdb.io/v/chart/14498" TargetMode="External"/><Relationship Id="rId50" Type="http://schemas.openxmlformats.org/officeDocument/2006/relationships/hyperlink" Target="http://jamnevisi.ir/home" TargetMode="External"/><Relationship Id="rId53" Type="http://schemas.openxmlformats.org/officeDocument/2006/relationships/hyperlink" Target="https://speakerdeck.com/codeforjapan/code-for-japan-the-network-for-the-people-who-think-together-create-together" TargetMode="External"/><Relationship Id="rId52" Type="http://schemas.openxmlformats.org/officeDocument/2006/relationships/hyperlink" Target="https://www.easel.ly/infographic/2fcvkq" TargetMode="External"/><Relationship Id="rId11" Type="http://schemas.openxmlformats.org/officeDocument/2006/relationships/hyperlink" Target="https://amis.moedict.tw/" TargetMode="External"/><Relationship Id="rId55" Type="http://schemas.openxmlformats.org/officeDocument/2006/relationships/hyperlink" Target="http://opendevelopmentmyanmar.net" TargetMode="External"/><Relationship Id="rId10" Type="http://schemas.openxmlformats.org/officeDocument/2006/relationships/hyperlink" Target="https://goo.gl/9FxooG" TargetMode="External"/><Relationship Id="rId54" Type="http://schemas.openxmlformats.org/officeDocument/2006/relationships/hyperlink" Target="https://github.com/OpenDevelopmentMekong" TargetMode="External"/><Relationship Id="rId13" Type="http://schemas.openxmlformats.org/officeDocument/2006/relationships/hyperlink" Target="https://g0v.hackpad.tw/1KopENAUlH6" TargetMode="External"/><Relationship Id="rId57" Type="http://schemas.openxmlformats.org/officeDocument/2006/relationships/hyperlink" Target="http://cofacts.g0v.tw" TargetMode="External"/><Relationship Id="rId12" Type="http://schemas.openxmlformats.org/officeDocument/2006/relationships/hyperlink" Target="https://docs.google.com/presentation/d/1PUlcam9_lL49nhLEEpcDr3w7qlM-fOYO7yL2pm9k-sM/edit?usp=sharing" TargetMode="External"/><Relationship Id="rId56" Type="http://schemas.openxmlformats.org/officeDocument/2006/relationships/hyperlink" Target="http://beta.hackfoldr.org/cofacts" TargetMode="External"/><Relationship Id="rId15" Type="http://schemas.openxmlformats.org/officeDocument/2006/relationships/hyperlink" Target="https://goo.gl/BwHvwo" TargetMode="External"/><Relationship Id="rId59" Type="http://schemas.openxmlformats.org/officeDocument/2006/relationships/hyperlink" Target="https://hackmd.io/c/ry2TPHV9W/%2Fs%2FBkkpi4uqb" TargetMode="External"/><Relationship Id="rId14" Type="http://schemas.openxmlformats.org/officeDocument/2006/relationships/hyperlink" Target="https://goo.gl/BwHvwo" TargetMode="External"/><Relationship Id="rId58" Type="http://schemas.openxmlformats.org/officeDocument/2006/relationships/hyperlink" Target="https://drive.google.com/open?id=1Ih_BJfXevVz2DcjleSUrI7SL5XMN20IDhrkNEQGdycg" TargetMode="External"/><Relationship Id="rId17" Type="http://schemas.openxmlformats.org/officeDocument/2006/relationships/hyperlink" Target="http://beta.hackfoldr.org/cofacts" TargetMode="External"/><Relationship Id="rId16" Type="http://schemas.openxmlformats.org/officeDocument/2006/relationships/hyperlink" Target="https://docs.google.com/presentation/d/1pJxGkVfh_mNRdNAePLVwnWjVSg6iKggzJcGm3KMJD-o/edit?usp=sharing" TargetMode="External"/><Relationship Id="rId19" Type="http://schemas.openxmlformats.org/officeDocument/2006/relationships/hyperlink" Target="https://drive.google.com/open?id=1Ih_BJfXevVz2DcjleSUrI7SL5XMN20IDhrkNEQGdycg" TargetMode="External"/><Relationship Id="rId18" Type="http://schemas.openxmlformats.org/officeDocument/2006/relationships/hyperlink" Target="http://cofacts.g0v.t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7.0"/>
    <col customWidth="1" min="5" max="5" width="6.13"/>
    <col customWidth="1" min="6" max="6" width="27.75"/>
    <col customWidth="1" min="7" max="7" width="6.25"/>
    <col customWidth="1" min="8" max="8" width="8.25"/>
    <col customWidth="1" min="9" max="9" width="30.88"/>
    <col customWidth="1" min="10" max="10" width="20.88"/>
    <col customWidth="1" min="11" max="11" width="21.0"/>
    <col customWidth="1" min="12" max="12" width="26.13"/>
    <col customWidth="1" min="13" max="13" width="15.5"/>
    <col customWidth="1" min="14" max="14" width="18.13"/>
    <col customWidth="1" min="15" max="15" width="34.88"/>
  </cols>
  <sheetData>
    <row r="1" ht="23.25" hidden="1" customHeight="1">
      <c r="A1" s="1"/>
      <c r="M1" s="2"/>
      <c r="N1" s="2"/>
      <c r="O1" s="2"/>
    </row>
    <row r="2" ht="15.0" customHeight="1">
      <c r="A2" s="3" t="s">
        <v>0</v>
      </c>
      <c r="B2" s="3" t="s">
        <v>1</v>
      </c>
      <c r="C2" s="4" t="s">
        <v>2</v>
      </c>
      <c r="D2" s="3" t="s">
        <v>3</v>
      </c>
      <c r="E2" s="5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</row>
    <row r="3" ht="15.0" customHeight="1">
      <c r="A3" s="7" t="s">
        <v>15</v>
      </c>
    </row>
    <row r="4" ht="15.0" customHeight="1">
      <c r="A4" s="8" t="s">
        <v>16</v>
      </c>
      <c r="M4" s="8"/>
      <c r="N4" s="8"/>
      <c r="O4" s="8"/>
    </row>
    <row r="5" ht="22.5" customHeight="1">
      <c r="A5" s="9">
        <v>1.0</v>
      </c>
      <c r="B5" s="10">
        <v>0.4111111111111111</v>
      </c>
      <c r="C5" s="11"/>
      <c r="M5" s="12"/>
      <c r="N5" s="13"/>
      <c r="O5" s="12"/>
    </row>
    <row r="6" ht="15.0" customHeight="1">
      <c r="A6" s="9">
        <f t="shared" ref="A6:A25" si="1">A5+1</f>
        <v>2</v>
      </c>
      <c r="B6" s="10">
        <f t="shared" ref="B6:B7" si="2">B5+Time(0,3,0)</f>
        <v>0.4131944444</v>
      </c>
      <c r="C6" s="11"/>
      <c r="D6" s="12"/>
      <c r="E6" s="14"/>
      <c r="F6" s="12"/>
      <c r="G6" s="15"/>
      <c r="H6" s="15"/>
      <c r="I6" s="12"/>
      <c r="J6" s="12"/>
      <c r="K6" s="12"/>
      <c r="L6" s="15"/>
      <c r="M6" s="12"/>
      <c r="N6" s="13"/>
      <c r="O6" s="16"/>
    </row>
    <row r="7" ht="15.0" customHeight="1">
      <c r="A7" s="9">
        <f t="shared" si="1"/>
        <v>3</v>
      </c>
      <c r="B7" s="10">
        <f t="shared" si="2"/>
        <v>0.4152777778</v>
      </c>
      <c r="C7" s="11"/>
      <c r="D7" s="15"/>
      <c r="E7" s="14"/>
      <c r="F7" s="12"/>
      <c r="G7" s="15"/>
      <c r="H7" s="15"/>
      <c r="I7" s="15"/>
      <c r="J7" s="15"/>
      <c r="K7" s="15"/>
      <c r="L7" s="15"/>
      <c r="M7" s="12"/>
      <c r="N7" s="13"/>
      <c r="O7" s="12"/>
    </row>
    <row r="8" ht="15.0" customHeight="1">
      <c r="A8" s="9">
        <f t="shared" si="1"/>
        <v>4</v>
      </c>
      <c r="B8" s="10">
        <v>0.4111111111111111</v>
      </c>
      <c r="C8" s="11"/>
      <c r="D8" s="12" t="s">
        <v>17</v>
      </c>
      <c r="E8" s="14" t="s">
        <v>18</v>
      </c>
      <c r="F8" s="12" t="s">
        <v>19</v>
      </c>
      <c r="G8" s="15"/>
      <c r="H8" s="15" t="s">
        <v>20</v>
      </c>
      <c r="I8" s="17" t="s">
        <v>21</v>
      </c>
      <c r="J8" s="16" t="s">
        <v>22</v>
      </c>
      <c r="K8" s="12" t="s">
        <v>23</v>
      </c>
      <c r="L8" s="12" t="s">
        <v>24</v>
      </c>
    </row>
    <row r="9" ht="15.0" customHeight="1">
      <c r="A9" s="9">
        <f t="shared" si="1"/>
        <v>5</v>
      </c>
      <c r="B9" s="10">
        <f t="shared" ref="B9:B22" si="3">B8+Time(0,3,0)</f>
        <v>0.4131944444</v>
      </c>
      <c r="C9" s="11"/>
      <c r="D9" s="12" t="s">
        <v>25</v>
      </c>
      <c r="E9" s="14"/>
      <c r="F9" s="12" t="s">
        <v>26</v>
      </c>
      <c r="G9" s="12"/>
      <c r="H9" s="12"/>
      <c r="I9" s="12"/>
      <c r="J9" s="12"/>
      <c r="K9" s="12" t="s">
        <v>27</v>
      </c>
      <c r="L9" s="12" t="s">
        <v>28</v>
      </c>
      <c r="M9" s="12"/>
      <c r="N9" s="13"/>
      <c r="O9" s="18" t="s">
        <v>29</v>
      </c>
    </row>
    <row r="10" ht="15.0" customHeight="1">
      <c r="A10" s="9">
        <f t="shared" si="1"/>
        <v>6</v>
      </c>
      <c r="B10" s="10">
        <f t="shared" si="3"/>
        <v>0.4152777778</v>
      </c>
      <c r="C10" s="11"/>
      <c r="D10" s="12" t="s">
        <v>30</v>
      </c>
      <c r="E10" s="14" t="s">
        <v>18</v>
      </c>
      <c r="F10" s="12" t="s">
        <v>31</v>
      </c>
      <c r="G10" s="12"/>
      <c r="H10" s="12" t="s">
        <v>32</v>
      </c>
      <c r="I10" s="18" t="s">
        <v>33</v>
      </c>
      <c r="J10" s="18" t="s">
        <v>34</v>
      </c>
      <c r="K10" s="19" t="s">
        <v>35</v>
      </c>
      <c r="L10" s="12" t="s">
        <v>36</v>
      </c>
      <c r="M10" s="12"/>
      <c r="N10" s="13"/>
      <c r="O10" s="12"/>
    </row>
    <row r="11" ht="18.0" customHeight="1">
      <c r="A11" s="9">
        <f t="shared" si="1"/>
        <v>7</v>
      </c>
      <c r="B11" s="10">
        <f t="shared" si="3"/>
        <v>0.4173611111</v>
      </c>
      <c r="C11" s="11"/>
      <c r="D11" s="15" t="s">
        <v>37</v>
      </c>
      <c r="E11" s="14"/>
      <c r="F11" s="12" t="s">
        <v>38</v>
      </c>
      <c r="G11" s="12"/>
      <c r="H11" s="12" t="s">
        <v>32</v>
      </c>
      <c r="I11" s="18" t="s">
        <v>39</v>
      </c>
      <c r="J11" s="18" t="s">
        <v>40</v>
      </c>
      <c r="K11" s="9" t="s">
        <v>41</v>
      </c>
      <c r="L11" s="12" t="s">
        <v>42</v>
      </c>
      <c r="M11" s="12"/>
      <c r="N11" s="13"/>
      <c r="O11" s="18" t="s">
        <v>43</v>
      </c>
    </row>
    <row r="12" ht="15.0" customHeight="1">
      <c r="A12" s="9">
        <f t="shared" si="1"/>
        <v>8</v>
      </c>
      <c r="B12" s="10">
        <f t="shared" si="3"/>
        <v>0.4194444444</v>
      </c>
      <c r="C12" s="11"/>
      <c r="D12" s="12" t="s">
        <v>44</v>
      </c>
      <c r="E12" s="14" t="s">
        <v>18</v>
      </c>
      <c r="F12" s="12" t="s">
        <v>45</v>
      </c>
      <c r="G12" s="12"/>
      <c r="H12" s="12" t="s">
        <v>32</v>
      </c>
      <c r="I12" s="20" t="s">
        <v>46</v>
      </c>
      <c r="J12" s="20" t="s">
        <v>47</v>
      </c>
      <c r="K12" s="15" t="s">
        <v>48</v>
      </c>
      <c r="L12" s="15" t="s">
        <v>49</v>
      </c>
      <c r="M12" s="12"/>
      <c r="N12" s="13"/>
      <c r="O12" s="12"/>
    </row>
    <row r="13" ht="15.0" customHeight="1">
      <c r="A13" s="9">
        <f t="shared" si="1"/>
        <v>9</v>
      </c>
      <c r="B13" s="10">
        <f t="shared" si="3"/>
        <v>0.4215277778</v>
      </c>
      <c r="C13" s="11"/>
      <c r="D13" s="12" t="s">
        <v>50</v>
      </c>
      <c r="E13" s="14" t="s">
        <v>51</v>
      </c>
      <c r="F13" s="12" t="s">
        <v>52</v>
      </c>
      <c r="G13" s="15"/>
      <c r="H13" s="12" t="s">
        <v>32</v>
      </c>
      <c r="I13" s="12"/>
      <c r="J13" s="18" t="s">
        <v>53</v>
      </c>
      <c r="K13" s="12" t="s">
        <v>54</v>
      </c>
      <c r="L13" s="12" t="s">
        <v>55</v>
      </c>
      <c r="M13" s="12"/>
      <c r="N13" s="13"/>
      <c r="O13" s="12"/>
    </row>
    <row r="14" ht="15.0" customHeight="1">
      <c r="A14" s="9">
        <f t="shared" si="1"/>
        <v>10</v>
      </c>
      <c r="B14" s="10">
        <f t="shared" si="3"/>
        <v>0.4236111111</v>
      </c>
      <c r="C14" s="11"/>
      <c r="D14" s="15" t="s">
        <v>56</v>
      </c>
      <c r="E14" s="21" t="s">
        <v>18</v>
      </c>
      <c r="F14" s="12" t="s">
        <v>57</v>
      </c>
      <c r="G14" s="15"/>
      <c r="H14" s="15" t="s">
        <v>32</v>
      </c>
      <c r="I14" s="15"/>
      <c r="J14" s="20" t="s">
        <v>58</v>
      </c>
      <c r="K14" s="15" t="s">
        <v>59</v>
      </c>
      <c r="L14" s="15" t="s">
        <v>60</v>
      </c>
      <c r="M14" s="12"/>
      <c r="O14" s="20" t="s">
        <v>61</v>
      </c>
    </row>
    <row r="15" ht="15.0" customHeight="1">
      <c r="A15" s="9">
        <f t="shared" si="1"/>
        <v>11</v>
      </c>
      <c r="B15" s="10">
        <f t="shared" si="3"/>
        <v>0.4256944444</v>
      </c>
      <c r="C15" s="11"/>
      <c r="D15" s="22" t="s">
        <v>62</v>
      </c>
      <c r="E15" s="14" t="s">
        <v>18</v>
      </c>
      <c r="F15" s="12" t="s">
        <v>63</v>
      </c>
      <c r="G15" s="12"/>
      <c r="H15" s="12" t="s">
        <v>20</v>
      </c>
      <c r="I15" s="18" t="s">
        <v>64</v>
      </c>
      <c r="J15" s="23" t="s">
        <v>65</v>
      </c>
      <c r="K15" s="12" t="s">
        <v>66</v>
      </c>
      <c r="L15" s="12" t="s">
        <v>67</v>
      </c>
      <c r="M15" s="12"/>
      <c r="N15" s="13"/>
      <c r="O15" s="18" t="s">
        <v>65</v>
      </c>
    </row>
    <row r="16" ht="15.0" customHeight="1">
      <c r="A16" s="9">
        <f t="shared" si="1"/>
        <v>12</v>
      </c>
      <c r="B16" s="10">
        <f t="shared" si="3"/>
        <v>0.4277777778</v>
      </c>
      <c r="C16" s="11"/>
      <c r="D16" s="15" t="s">
        <v>68</v>
      </c>
      <c r="E16" s="15" t="s">
        <v>18</v>
      </c>
      <c r="F16" s="15" t="s">
        <v>69</v>
      </c>
      <c r="H16" s="15" t="s">
        <v>70</v>
      </c>
      <c r="K16" s="15" t="s">
        <v>71</v>
      </c>
      <c r="M16" s="12"/>
      <c r="N16" s="13"/>
      <c r="O16" s="12"/>
    </row>
    <row r="17" ht="15.0" customHeight="1">
      <c r="A17" s="9">
        <f t="shared" si="1"/>
        <v>13</v>
      </c>
      <c r="B17" s="10">
        <f t="shared" si="3"/>
        <v>0.4298611111</v>
      </c>
      <c r="C17" s="11"/>
      <c r="D17" s="24" t="s">
        <v>72</v>
      </c>
      <c r="E17" s="25" t="s">
        <v>18</v>
      </c>
      <c r="F17" s="26" t="s">
        <v>73</v>
      </c>
      <c r="G17" s="12"/>
      <c r="H17" s="12"/>
      <c r="I17" s="24"/>
      <c r="J17" s="18" t="s">
        <v>74</v>
      </c>
      <c r="K17" s="12" t="s">
        <v>75</v>
      </c>
      <c r="L17" s="12" t="s">
        <v>76</v>
      </c>
      <c r="M17" s="12"/>
      <c r="N17" s="13"/>
      <c r="O17" s="13"/>
    </row>
    <row r="18" ht="15.0" customHeight="1">
      <c r="A18" s="9">
        <f t="shared" si="1"/>
        <v>14</v>
      </c>
      <c r="B18" s="10">
        <f t="shared" si="3"/>
        <v>0.4319444444</v>
      </c>
      <c r="C18" s="11"/>
      <c r="D18" s="12" t="s">
        <v>77</v>
      </c>
      <c r="E18" s="14" t="s">
        <v>78</v>
      </c>
      <c r="F18" s="12" t="s">
        <v>79</v>
      </c>
      <c r="G18" s="12"/>
      <c r="H18" s="12" t="s">
        <v>80</v>
      </c>
      <c r="I18" s="18" t="s">
        <v>81</v>
      </c>
      <c r="J18" s="17" t="s">
        <v>82</v>
      </c>
      <c r="K18" s="12" t="s">
        <v>83</v>
      </c>
      <c r="L18" s="12" t="s">
        <v>84</v>
      </c>
      <c r="M18" s="12"/>
      <c r="N18" s="13"/>
      <c r="O18" s="18" t="s">
        <v>85</v>
      </c>
    </row>
    <row r="19" ht="15.0" customHeight="1">
      <c r="A19" s="9">
        <f t="shared" si="1"/>
        <v>15</v>
      </c>
      <c r="B19" s="10">
        <f t="shared" si="3"/>
        <v>0.4340277778</v>
      </c>
      <c r="C19" s="11"/>
      <c r="D19" s="12" t="s">
        <v>77</v>
      </c>
      <c r="E19" s="14" t="s">
        <v>18</v>
      </c>
      <c r="F19" s="12" t="s">
        <v>86</v>
      </c>
      <c r="G19" s="27"/>
      <c r="H19" s="27" t="s">
        <v>70</v>
      </c>
      <c r="I19" s="18" t="s">
        <v>87</v>
      </c>
      <c r="J19" s="18" t="s">
        <v>87</v>
      </c>
      <c r="K19" s="12" t="s">
        <v>88</v>
      </c>
      <c r="L19" s="12" t="s">
        <v>89</v>
      </c>
      <c r="M19" s="12"/>
      <c r="N19" s="13"/>
      <c r="O19" s="18" t="s">
        <v>90</v>
      </c>
    </row>
    <row r="20" ht="15.0" customHeight="1">
      <c r="A20" s="9">
        <f t="shared" si="1"/>
        <v>16</v>
      </c>
      <c r="B20" s="10">
        <f t="shared" si="3"/>
        <v>0.4361111111</v>
      </c>
      <c r="C20" s="11"/>
      <c r="D20" s="12" t="s">
        <v>91</v>
      </c>
      <c r="E20" s="14" t="s">
        <v>18</v>
      </c>
      <c r="F20" s="12" t="s">
        <v>92</v>
      </c>
      <c r="G20" s="12"/>
      <c r="H20" s="12" t="s">
        <v>93</v>
      </c>
      <c r="I20" s="18" t="s">
        <v>94</v>
      </c>
      <c r="J20" s="18" t="s">
        <v>95</v>
      </c>
      <c r="K20" s="12" t="s">
        <v>96</v>
      </c>
      <c r="L20" s="12" t="s">
        <v>97</v>
      </c>
      <c r="M20" s="12"/>
      <c r="N20" s="13"/>
      <c r="O20" s="13"/>
    </row>
    <row r="21" ht="15.0" customHeight="1">
      <c r="A21" s="9">
        <f t="shared" si="1"/>
        <v>17</v>
      </c>
      <c r="B21" s="10">
        <f t="shared" si="3"/>
        <v>0.4381944444</v>
      </c>
      <c r="C21" s="11"/>
      <c r="D21" s="12" t="s">
        <v>98</v>
      </c>
      <c r="E21" s="14" t="s">
        <v>18</v>
      </c>
      <c r="F21" s="12" t="s">
        <v>99</v>
      </c>
      <c r="G21" s="12"/>
      <c r="H21" s="12" t="s">
        <v>32</v>
      </c>
      <c r="I21" s="18" t="s">
        <v>100</v>
      </c>
      <c r="J21" s="18" t="s">
        <v>101</v>
      </c>
      <c r="K21" s="12" t="s">
        <v>102</v>
      </c>
      <c r="L21" s="12" t="s">
        <v>103</v>
      </c>
      <c r="M21" s="12"/>
      <c r="N21" s="13"/>
      <c r="O21" s="18" t="s">
        <v>104</v>
      </c>
    </row>
    <row r="22" ht="15.0" customHeight="1">
      <c r="A22" s="9">
        <f t="shared" si="1"/>
        <v>18</v>
      </c>
      <c r="B22" s="10">
        <f t="shared" si="3"/>
        <v>0.4402777778</v>
      </c>
      <c r="C22" s="11"/>
      <c r="D22" s="12"/>
      <c r="E22" s="14"/>
      <c r="F22" s="12"/>
      <c r="G22" s="12"/>
      <c r="H22" s="12"/>
      <c r="I22" s="12"/>
      <c r="J22" s="12"/>
      <c r="K22" s="12"/>
      <c r="L22" s="12"/>
      <c r="M22" s="12"/>
      <c r="N22" s="13"/>
      <c r="O22" s="13"/>
    </row>
    <row r="23" ht="15.0" customHeight="1">
      <c r="A23" s="9">
        <f t="shared" si="1"/>
        <v>19</v>
      </c>
      <c r="B23" s="10">
        <v>0.4423611111111111</v>
      </c>
      <c r="C23" s="11"/>
      <c r="D23" s="9" t="s">
        <v>105</v>
      </c>
      <c r="E23" s="14" t="s">
        <v>106</v>
      </c>
      <c r="F23" s="28" t="s">
        <v>107</v>
      </c>
      <c r="G23" s="12"/>
      <c r="H23" s="12" t="s">
        <v>32</v>
      </c>
      <c r="I23" s="29" t="s">
        <v>108</v>
      </c>
      <c r="J23" s="30" t="s">
        <v>109</v>
      </c>
      <c r="K23" s="12" t="s">
        <v>110</v>
      </c>
      <c r="L23" s="12" t="s">
        <v>111</v>
      </c>
      <c r="M23" s="12"/>
      <c r="N23" s="13"/>
      <c r="O23" s="13"/>
    </row>
    <row r="24" ht="15.0" customHeight="1">
      <c r="A24" s="9">
        <f t="shared" si="1"/>
        <v>20</v>
      </c>
      <c r="B24" s="10">
        <v>0.4444444444444444</v>
      </c>
      <c r="C24" s="11"/>
      <c r="D24" s="12" t="s">
        <v>112</v>
      </c>
      <c r="E24" s="14" t="s">
        <v>18</v>
      </c>
      <c r="F24" s="12" t="s">
        <v>113</v>
      </c>
      <c r="G24" s="12"/>
      <c r="H24" s="12" t="s">
        <v>70</v>
      </c>
      <c r="I24" s="20" t="s">
        <v>114</v>
      </c>
      <c r="J24" s="20" t="s">
        <v>115</v>
      </c>
      <c r="K24" s="12" t="s">
        <v>116</v>
      </c>
      <c r="L24" s="12" t="s">
        <v>117</v>
      </c>
      <c r="M24" s="12"/>
      <c r="N24" s="13"/>
      <c r="O24" s="18" t="s">
        <v>115</v>
      </c>
    </row>
    <row r="25" ht="15.0" customHeight="1">
      <c r="A25" s="9">
        <f t="shared" si="1"/>
        <v>21</v>
      </c>
      <c r="B25" s="10">
        <v>0.4465277777777778</v>
      </c>
      <c r="C25" s="11"/>
      <c r="D25" s="12" t="s">
        <v>118</v>
      </c>
      <c r="E25" s="14" t="s">
        <v>18</v>
      </c>
      <c r="F25" s="12" t="s">
        <v>119</v>
      </c>
      <c r="G25" s="12"/>
      <c r="H25" s="12" t="s">
        <v>70</v>
      </c>
      <c r="I25" s="12"/>
      <c r="J25" s="31" t="s">
        <v>120</v>
      </c>
      <c r="K25" s="12" t="s">
        <v>121</v>
      </c>
      <c r="L25" s="12" t="s">
        <v>122</v>
      </c>
      <c r="M25" s="12"/>
      <c r="N25" s="13"/>
      <c r="O25" s="12"/>
    </row>
    <row r="26" ht="15.0" customHeight="1">
      <c r="A26" s="12">
        <v>22.0</v>
      </c>
      <c r="B26" s="10">
        <v>0.4486111111111111</v>
      </c>
      <c r="C26" s="11"/>
      <c r="D26" s="12" t="s">
        <v>123</v>
      </c>
      <c r="E26" s="14"/>
      <c r="F26" s="12" t="s">
        <v>124</v>
      </c>
      <c r="G26" s="12"/>
      <c r="H26" s="12"/>
      <c r="I26" s="18" t="s">
        <v>125</v>
      </c>
      <c r="J26" s="18" t="s">
        <v>126</v>
      </c>
      <c r="K26" s="12" t="s">
        <v>127</v>
      </c>
      <c r="L26" s="12" t="s">
        <v>128</v>
      </c>
      <c r="M26" s="12"/>
      <c r="N26" s="13"/>
      <c r="O26" s="12" t="s">
        <v>129</v>
      </c>
    </row>
    <row r="27" ht="15.0" customHeight="1">
      <c r="A27" s="12"/>
      <c r="B27" s="10"/>
      <c r="C27" s="11"/>
      <c r="D27" s="12"/>
      <c r="E27" s="14"/>
      <c r="F27" s="12"/>
      <c r="G27" s="12"/>
      <c r="H27" s="12"/>
      <c r="I27" s="12"/>
      <c r="J27" s="12"/>
      <c r="K27" s="12"/>
      <c r="L27" s="12"/>
      <c r="M27" s="12"/>
      <c r="N27" s="13"/>
      <c r="O27" s="13"/>
    </row>
    <row r="28" ht="15.0" customHeight="1">
      <c r="A28" s="12"/>
      <c r="B28" s="10"/>
      <c r="C28" s="11"/>
      <c r="D28" s="12"/>
      <c r="E28" s="14"/>
      <c r="F28" s="12"/>
      <c r="G28" s="12"/>
      <c r="H28" s="12"/>
      <c r="I28" s="12"/>
      <c r="K28" s="12"/>
      <c r="L28" s="12"/>
      <c r="M28" s="12"/>
      <c r="N28" s="13"/>
      <c r="O28" s="13"/>
    </row>
    <row r="29" ht="15.0" customHeight="1">
      <c r="A29" s="12"/>
      <c r="B29" s="10"/>
      <c r="C29" s="11"/>
      <c r="D29" s="12"/>
      <c r="E29" s="14"/>
      <c r="F29" s="12"/>
      <c r="G29" s="12"/>
      <c r="H29" s="12"/>
      <c r="I29" s="12"/>
      <c r="J29" s="12"/>
      <c r="K29" s="12"/>
      <c r="L29" s="12"/>
      <c r="M29" s="12"/>
      <c r="N29" s="13"/>
      <c r="O29" s="13"/>
    </row>
    <row r="30" ht="15.0" customHeight="1">
      <c r="A30" s="12"/>
      <c r="B30" s="10"/>
      <c r="C30" s="11"/>
      <c r="D30" s="32" t="s">
        <v>130</v>
      </c>
      <c r="E30" s="14"/>
      <c r="F30" s="12" t="s">
        <v>131</v>
      </c>
      <c r="G30" s="12"/>
      <c r="H30" s="12"/>
      <c r="I30" s="12"/>
      <c r="J30" s="12"/>
      <c r="K30" s="12"/>
      <c r="L30" s="12"/>
      <c r="M30" s="12"/>
      <c r="N30" s="13"/>
      <c r="O30" s="13"/>
    </row>
    <row r="31" ht="15.0" customHeight="1">
      <c r="A31" s="33" t="s">
        <v>132</v>
      </c>
    </row>
    <row r="32" ht="15.0" customHeight="1">
      <c r="A32" s="6" t="s">
        <v>133</v>
      </c>
      <c r="B32" s="6" t="s">
        <v>134</v>
      </c>
      <c r="C32" s="3" t="s">
        <v>2</v>
      </c>
      <c r="D32" s="6" t="s">
        <v>135</v>
      </c>
      <c r="E32" s="5" t="s">
        <v>136</v>
      </c>
      <c r="F32" s="6" t="s">
        <v>137</v>
      </c>
      <c r="G32" s="34"/>
      <c r="H32" s="34"/>
      <c r="I32" s="6"/>
      <c r="J32" s="6" t="s">
        <v>138</v>
      </c>
      <c r="K32" s="6" t="s">
        <v>139</v>
      </c>
      <c r="L32" s="6" t="s">
        <v>140</v>
      </c>
      <c r="M32" s="34"/>
      <c r="N32" s="34"/>
      <c r="O32" s="34"/>
    </row>
    <row r="33" ht="15.0" customHeight="1">
      <c r="A33" s="35">
        <v>1.0</v>
      </c>
      <c r="B33" s="10">
        <v>0.5833333333333334</v>
      </c>
      <c r="C33" s="11"/>
      <c r="D33" s="12" t="s">
        <v>141</v>
      </c>
      <c r="E33" s="14"/>
      <c r="F33" s="15" t="s">
        <v>142</v>
      </c>
      <c r="G33" s="12"/>
      <c r="I33" s="15"/>
      <c r="J33" s="22"/>
      <c r="K33" s="15"/>
      <c r="L33" s="12"/>
      <c r="M33" s="22"/>
      <c r="N33" s="36"/>
      <c r="O33" s="36"/>
    </row>
    <row r="34" ht="15.0" customHeight="1">
      <c r="A34" s="35">
        <v>2.0</v>
      </c>
      <c r="B34" s="10">
        <v>0.5902777777777778</v>
      </c>
      <c r="C34" s="11"/>
      <c r="D34" s="15" t="s">
        <v>143</v>
      </c>
      <c r="E34" s="14" t="s">
        <v>144</v>
      </c>
      <c r="F34" s="37" t="s">
        <v>145</v>
      </c>
      <c r="G34" s="12"/>
      <c r="I34" s="38" t="s">
        <v>146</v>
      </c>
      <c r="K34" s="22"/>
      <c r="L34" s="12"/>
      <c r="M34" s="22"/>
      <c r="N34" s="36"/>
      <c r="O34" s="22"/>
    </row>
    <row r="35" ht="15.0" customHeight="1">
      <c r="A35" s="35">
        <v>3.0</v>
      </c>
      <c r="B35" s="10">
        <v>0.59375</v>
      </c>
      <c r="C35" s="11"/>
      <c r="D35" s="15" t="s">
        <v>147</v>
      </c>
      <c r="E35" s="14" t="s">
        <v>144</v>
      </c>
      <c r="F35" s="37" t="s">
        <v>148</v>
      </c>
      <c r="G35" s="12"/>
      <c r="H35" s="12"/>
      <c r="I35" s="30" t="s">
        <v>149</v>
      </c>
      <c r="J35" s="39" t="s">
        <v>150</v>
      </c>
      <c r="K35" s="15" t="s">
        <v>151</v>
      </c>
      <c r="L35" s="15" t="s">
        <v>152</v>
      </c>
      <c r="M35" s="15"/>
      <c r="O35" s="40"/>
    </row>
    <row r="36" ht="15.0" customHeight="1">
      <c r="A36" s="12">
        <v>4.0</v>
      </c>
      <c r="B36" s="41">
        <v>0.5972222222222222</v>
      </c>
      <c r="C36" s="42"/>
      <c r="D36" s="15" t="s">
        <v>153</v>
      </c>
      <c r="E36" s="14" t="s">
        <v>144</v>
      </c>
      <c r="F36" s="37" t="s">
        <v>154</v>
      </c>
      <c r="G36" s="13"/>
      <c r="H36" s="13"/>
      <c r="I36" s="18" t="s">
        <v>155</v>
      </c>
      <c r="J36" s="18" t="s">
        <v>156</v>
      </c>
      <c r="K36" s="12" t="s">
        <v>157</v>
      </c>
      <c r="L36" s="12" t="s">
        <v>158</v>
      </c>
      <c r="M36" s="12"/>
      <c r="N36" s="13"/>
      <c r="O36" s="18" t="s">
        <v>159</v>
      </c>
    </row>
    <row r="37" ht="15.0" customHeight="1">
      <c r="A37" s="12">
        <v>5.0</v>
      </c>
      <c r="B37" s="41">
        <v>0.6006944444444444</v>
      </c>
      <c r="C37" s="42"/>
      <c r="D37" s="15" t="s">
        <v>160</v>
      </c>
      <c r="E37" s="14"/>
      <c r="F37" s="37" t="s">
        <v>161</v>
      </c>
      <c r="G37" s="13"/>
      <c r="H37" s="13"/>
      <c r="I37" s="12" t="s">
        <v>162</v>
      </c>
      <c r="J37" s="12"/>
      <c r="K37" s="12"/>
      <c r="L37" s="13"/>
      <c r="M37" s="12"/>
      <c r="N37" s="13"/>
      <c r="O37" s="13"/>
    </row>
    <row r="38" ht="15.0" customHeight="1">
      <c r="A38" s="12">
        <v>6.0</v>
      </c>
      <c r="B38" s="41">
        <v>0.6041666666666666</v>
      </c>
      <c r="C38" s="42"/>
      <c r="D38" s="12" t="s">
        <v>163</v>
      </c>
      <c r="E38" s="14"/>
      <c r="F38" s="43" t="s">
        <v>164</v>
      </c>
      <c r="G38" s="13"/>
      <c r="H38" s="13"/>
      <c r="I38" s="18" t="s">
        <v>165</v>
      </c>
      <c r="J38" s="18" t="s">
        <v>166</v>
      </c>
      <c r="K38" s="12" t="s">
        <v>167</v>
      </c>
      <c r="L38" s="12" t="s">
        <v>168</v>
      </c>
      <c r="M38" s="12"/>
      <c r="N38" s="13"/>
      <c r="O38" s="13"/>
    </row>
    <row r="39" ht="15.0" customHeight="1">
      <c r="A39" s="12">
        <v>7.0</v>
      </c>
      <c r="B39" s="41">
        <v>0.6076388888888888</v>
      </c>
      <c r="C39" s="42"/>
      <c r="D39" s="15" t="s">
        <v>169</v>
      </c>
      <c r="E39" s="14"/>
      <c r="F39" s="37" t="s">
        <v>170</v>
      </c>
      <c r="G39" s="27"/>
      <c r="H39" s="27"/>
      <c r="I39" s="18" t="s">
        <v>171</v>
      </c>
      <c r="J39" s="18" t="s">
        <v>172</v>
      </c>
      <c r="K39" s="12"/>
      <c r="L39" s="13"/>
      <c r="M39" s="12"/>
      <c r="N39" s="13"/>
      <c r="O39" s="13"/>
    </row>
    <row r="40" ht="15.0" customHeight="1">
      <c r="A40" s="44"/>
      <c r="B40" s="45" t="s">
        <v>173</v>
      </c>
      <c r="C40" s="46"/>
      <c r="D40" s="47" t="s">
        <v>130</v>
      </c>
      <c r="E40" s="46"/>
      <c r="F40" s="48"/>
      <c r="G40" s="44"/>
      <c r="H40" s="44"/>
      <c r="I40" s="44"/>
      <c r="J40" s="44"/>
      <c r="K40" s="44"/>
      <c r="L40" s="44"/>
      <c r="M40" s="48"/>
      <c r="N40" s="44"/>
      <c r="O40" s="44"/>
    </row>
    <row r="41" ht="15.0" customHeight="1">
      <c r="A41" s="44"/>
      <c r="B41" s="49"/>
      <c r="C41" s="46"/>
      <c r="D41" s="50"/>
      <c r="E41" s="46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ht="15.0" customHeight="1">
      <c r="A42" s="13"/>
      <c r="B42" s="42"/>
      <c r="C42" s="42"/>
      <c r="D42" s="13"/>
      <c r="E42" s="51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ht="15.0" customHeight="1">
      <c r="A43" s="13"/>
      <c r="B43" s="42"/>
      <c r="C43" s="42"/>
      <c r="E43" s="51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5.0" customHeight="1">
      <c r="A44" s="13"/>
      <c r="B44" s="42"/>
      <c r="C44" s="42"/>
      <c r="D44" s="13"/>
      <c r="E44" s="51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15.0" customHeight="1">
      <c r="A45" s="13"/>
      <c r="B45" s="42"/>
      <c r="C45" s="42"/>
      <c r="D45" s="13"/>
      <c r="E45" s="51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5.0" customHeight="1">
      <c r="A46" s="7" t="s">
        <v>174</v>
      </c>
    </row>
    <row r="47" ht="15.0" customHeight="1">
      <c r="A47" s="52">
        <v>1.0</v>
      </c>
      <c r="B47" s="53">
        <v>0.7048611111111112</v>
      </c>
      <c r="C47" s="11"/>
      <c r="D47" s="15" t="s">
        <v>175</v>
      </c>
      <c r="E47" s="14"/>
      <c r="F47" s="37" t="s">
        <v>176</v>
      </c>
      <c r="G47" s="15"/>
      <c r="H47" s="15"/>
      <c r="I47" s="15"/>
      <c r="J47" s="54"/>
      <c r="K47" s="12"/>
      <c r="L47" s="12"/>
      <c r="M47" s="12"/>
      <c r="N47" s="12"/>
      <c r="O47" s="12"/>
    </row>
    <row r="48" ht="15.0" customHeight="1">
      <c r="A48" s="12">
        <v>2.0</v>
      </c>
      <c r="B48" s="55">
        <v>0.7083333333333334</v>
      </c>
      <c r="C48" s="11"/>
      <c r="D48" s="15" t="s">
        <v>25</v>
      </c>
      <c r="E48" s="14"/>
      <c r="F48" s="37" t="s">
        <v>177</v>
      </c>
      <c r="G48" s="12"/>
      <c r="H48" s="12"/>
      <c r="I48" s="56"/>
      <c r="J48" s="18" t="s">
        <v>178</v>
      </c>
      <c r="K48" s="12"/>
      <c r="L48" s="13"/>
      <c r="M48" s="12"/>
      <c r="N48" s="12"/>
      <c r="O48" s="12"/>
    </row>
    <row r="49" ht="15.0" customHeight="1">
      <c r="A49" s="52">
        <v>3.0</v>
      </c>
      <c r="B49" s="10">
        <v>0.7118055555555556</v>
      </c>
      <c r="C49" s="11"/>
      <c r="D49" s="15" t="s">
        <v>118</v>
      </c>
      <c r="E49" s="14" t="s">
        <v>179</v>
      </c>
      <c r="F49" s="37" t="s">
        <v>180</v>
      </c>
      <c r="G49" s="12"/>
      <c r="H49" s="12" t="s">
        <v>181</v>
      </c>
      <c r="I49" s="56" t="s">
        <v>182</v>
      </c>
      <c r="J49" s="12"/>
      <c r="K49" s="12"/>
      <c r="L49" s="13"/>
      <c r="M49" s="12"/>
      <c r="N49" s="12"/>
      <c r="O49" s="12"/>
    </row>
    <row r="50" ht="15.0" customHeight="1">
      <c r="A50" s="12">
        <v>4.0</v>
      </c>
      <c r="B50" s="10">
        <v>0.7152777777777778</v>
      </c>
      <c r="C50" s="11"/>
      <c r="D50" s="12" t="s">
        <v>50</v>
      </c>
      <c r="E50" s="14" t="s">
        <v>179</v>
      </c>
      <c r="F50" s="24" t="s">
        <v>183</v>
      </c>
      <c r="G50" s="12"/>
      <c r="H50" s="12"/>
      <c r="I50" s="56"/>
      <c r="J50" s="12"/>
      <c r="K50" s="12"/>
      <c r="L50" s="13"/>
      <c r="M50" s="12"/>
      <c r="N50" s="12"/>
      <c r="O50" s="12"/>
    </row>
    <row r="51" ht="15.0" customHeight="1">
      <c r="A51" s="52">
        <v>5.0</v>
      </c>
      <c r="B51" s="10">
        <v>0.71875</v>
      </c>
      <c r="C51" s="11"/>
      <c r="D51" s="12" t="s">
        <v>56</v>
      </c>
      <c r="E51" s="14" t="s">
        <v>179</v>
      </c>
      <c r="F51" s="24" t="s">
        <v>57</v>
      </c>
      <c r="G51" s="15"/>
      <c r="H51" s="15" t="s">
        <v>32</v>
      </c>
      <c r="I51" s="15"/>
      <c r="J51" s="20" t="s">
        <v>58</v>
      </c>
      <c r="K51" s="15" t="s">
        <v>59</v>
      </c>
      <c r="L51" s="15" t="s">
        <v>60</v>
      </c>
      <c r="M51" s="12"/>
      <c r="O51" s="20" t="s">
        <v>61</v>
      </c>
    </row>
    <row r="52" ht="15.0" customHeight="1">
      <c r="A52" s="12">
        <v>6.0</v>
      </c>
      <c r="B52" s="57" t="s">
        <v>184</v>
      </c>
      <c r="C52" s="11"/>
      <c r="D52" s="15" t="s">
        <v>185</v>
      </c>
      <c r="E52" s="14" t="s">
        <v>51</v>
      </c>
      <c r="F52" s="15" t="s">
        <v>186</v>
      </c>
      <c r="G52" s="15"/>
      <c r="H52" s="15"/>
      <c r="I52" s="15"/>
      <c r="J52" s="15" t="s">
        <v>187</v>
      </c>
      <c r="K52" s="15" t="s">
        <v>188</v>
      </c>
      <c r="L52" s="15"/>
      <c r="M52" s="12"/>
      <c r="N52" s="13"/>
      <c r="O52" s="13"/>
    </row>
    <row r="53" ht="15.0" customHeight="1">
      <c r="A53" s="52">
        <v>7.0</v>
      </c>
      <c r="B53" s="57" t="s">
        <v>189</v>
      </c>
      <c r="C53" s="11"/>
      <c r="D53" s="12" t="s">
        <v>190</v>
      </c>
      <c r="E53" s="14" t="s">
        <v>18</v>
      </c>
      <c r="F53" s="12" t="s">
        <v>191</v>
      </c>
      <c r="G53" s="12"/>
      <c r="H53" s="12"/>
      <c r="I53" s="12"/>
      <c r="J53" s="18" t="s">
        <v>192</v>
      </c>
      <c r="K53" s="58" t="s">
        <v>193</v>
      </c>
      <c r="L53" s="58"/>
      <c r="M53" s="12"/>
      <c r="N53" s="13"/>
      <c r="O53" s="13"/>
    </row>
    <row r="54" ht="15.0" customHeight="1">
      <c r="A54" s="12">
        <v>8.0</v>
      </c>
      <c r="B54" s="57" t="s">
        <v>194</v>
      </c>
      <c r="C54" s="11"/>
      <c r="D54" s="15" t="s">
        <v>72</v>
      </c>
      <c r="E54" s="14" t="s">
        <v>18</v>
      </c>
      <c r="F54" s="12" t="s">
        <v>195</v>
      </c>
      <c r="G54" s="12"/>
      <c r="H54" s="12"/>
      <c r="I54" s="12"/>
      <c r="J54" s="12"/>
      <c r="K54" s="12"/>
      <c r="L54" s="12"/>
      <c r="M54" s="12"/>
      <c r="N54" s="13"/>
      <c r="O54" s="13"/>
    </row>
    <row r="55" ht="15.0" customHeight="1">
      <c r="A55" s="52">
        <v>9.0</v>
      </c>
      <c r="B55" s="57" t="s">
        <v>196</v>
      </c>
      <c r="C55" s="11"/>
      <c r="D55" s="12" t="s">
        <v>197</v>
      </c>
      <c r="E55" s="14" t="s">
        <v>198</v>
      </c>
      <c r="F55" s="12" t="s">
        <v>199</v>
      </c>
      <c r="G55" s="12"/>
      <c r="H55" s="12"/>
      <c r="I55" s="20" t="s">
        <v>200</v>
      </c>
      <c r="J55" s="12"/>
      <c r="K55" s="19"/>
      <c r="L55" s="18" t="s">
        <v>201</v>
      </c>
      <c r="M55" s="12"/>
      <c r="N55" s="13"/>
      <c r="O55" s="12"/>
    </row>
    <row r="56" ht="15.0" customHeight="1">
      <c r="A56" s="12">
        <v>10.0</v>
      </c>
      <c r="B56" s="57" t="s">
        <v>202</v>
      </c>
      <c r="C56" s="11"/>
      <c r="D56" s="12" t="s">
        <v>203</v>
      </c>
      <c r="E56" s="14" t="s">
        <v>179</v>
      </c>
      <c r="F56" s="12" t="s">
        <v>204</v>
      </c>
      <c r="G56" s="12"/>
      <c r="H56" s="12"/>
      <c r="I56" s="15"/>
      <c r="J56" s="59"/>
      <c r="K56" s="12" t="s">
        <v>205</v>
      </c>
      <c r="L56" s="13"/>
      <c r="M56" s="13"/>
      <c r="N56" s="13"/>
      <c r="O56" s="18" t="s">
        <v>206</v>
      </c>
    </row>
    <row r="57" ht="15.0" customHeight="1">
      <c r="A57" s="52">
        <v>11.0</v>
      </c>
      <c r="B57" s="57" t="s">
        <v>207</v>
      </c>
      <c r="C57" s="11"/>
      <c r="D57" s="12" t="s">
        <v>208</v>
      </c>
      <c r="E57" s="14" t="s">
        <v>18</v>
      </c>
      <c r="F57" s="60" t="s">
        <v>209</v>
      </c>
      <c r="G57" s="61"/>
      <c r="H57" s="61"/>
      <c r="I57" s="30" t="s">
        <v>210</v>
      </c>
      <c r="J57" s="18" t="s">
        <v>211</v>
      </c>
      <c r="K57" s="12"/>
      <c r="L57" s="13"/>
      <c r="M57" s="12"/>
      <c r="N57" s="12"/>
      <c r="O57" s="13"/>
    </row>
    <row r="58" ht="15.0" customHeight="1">
      <c r="A58" s="12">
        <v>12.0</v>
      </c>
      <c r="B58" s="57" t="s">
        <v>212</v>
      </c>
      <c r="C58" s="11"/>
      <c r="D58" s="12" t="s">
        <v>213</v>
      </c>
      <c r="E58" s="14" t="s">
        <v>18</v>
      </c>
      <c r="F58" s="9" t="s">
        <v>214</v>
      </c>
      <c r="G58" s="15"/>
      <c r="H58" s="12" t="s">
        <v>80</v>
      </c>
      <c r="I58" s="18" t="s">
        <v>81</v>
      </c>
      <c r="J58" s="17" t="s">
        <v>82</v>
      </c>
      <c r="K58" s="12" t="s">
        <v>83</v>
      </c>
      <c r="L58" s="12" t="s">
        <v>84</v>
      </c>
      <c r="M58" s="12"/>
      <c r="N58" s="13"/>
      <c r="O58" s="18" t="s">
        <v>85</v>
      </c>
    </row>
    <row r="59" ht="15.0" customHeight="1">
      <c r="A59" s="52">
        <v>13.0</v>
      </c>
      <c r="B59" s="57" t="s">
        <v>215</v>
      </c>
      <c r="C59" s="42"/>
      <c r="D59" s="12" t="s">
        <v>216</v>
      </c>
      <c r="E59" s="14" t="s">
        <v>18</v>
      </c>
      <c r="F59" s="62" t="s">
        <v>217</v>
      </c>
      <c r="G59" s="61"/>
      <c r="H59" s="27" t="s">
        <v>70</v>
      </c>
      <c r="I59" s="18" t="s">
        <v>87</v>
      </c>
      <c r="J59" s="18" t="s">
        <v>87</v>
      </c>
      <c r="K59" s="12" t="s">
        <v>88</v>
      </c>
      <c r="L59" s="12" t="s">
        <v>89</v>
      </c>
      <c r="M59" s="12"/>
      <c r="N59" s="13"/>
      <c r="O59" s="18" t="s">
        <v>90</v>
      </c>
    </row>
    <row r="60" ht="15.0" customHeight="1">
      <c r="A60" s="12">
        <v>14.0</v>
      </c>
      <c r="B60" s="57"/>
      <c r="C60" s="42"/>
      <c r="D60" s="12" t="s">
        <v>147</v>
      </c>
      <c r="E60" s="14" t="s">
        <v>18</v>
      </c>
      <c r="F60" s="62" t="s">
        <v>218</v>
      </c>
      <c r="G60" s="61"/>
      <c r="H60" s="27"/>
      <c r="I60" s="12"/>
      <c r="J60" s="18" t="s">
        <v>219</v>
      </c>
      <c r="K60" s="12"/>
      <c r="L60" s="12"/>
      <c r="M60" s="12"/>
      <c r="N60" s="13"/>
      <c r="O60" s="12"/>
    </row>
    <row r="61" ht="15.0" customHeight="1">
      <c r="A61" s="12">
        <v>15.0</v>
      </c>
      <c r="B61" s="57"/>
      <c r="C61" s="42"/>
      <c r="D61" s="12" t="s">
        <v>220</v>
      </c>
      <c r="E61" s="14" t="s">
        <v>18</v>
      </c>
      <c r="F61" s="62" t="s">
        <v>221</v>
      </c>
      <c r="G61" s="61"/>
      <c r="H61" s="27" t="s">
        <v>70</v>
      </c>
      <c r="I61" s="18" t="s">
        <v>222</v>
      </c>
      <c r="J61" s="12"/>
      <c r="K61" s="12"/>
      <c r="L61" s="12"/>
      <c r="M61" s="12"/>
      <c r="N61" s="13"/>
      <c r="O61" s="12"/>
    </row>
    <row r="62" ht="15.0" customHeight="1">
      <c r="A62" s="63"/>
      <c r="B62" s="64"/>
      <c r="C62" s="64"/>
      <c r="D62" s="65"/>
      <c r="E62" s="63"/>
      <c r="F62" s="66" t="s">
        <v>223</v>
      </c>
      <c r="G62" s="63"/>
      <c r="H62" s="63"/>
      <c r="I62" s="63"/>
      <c r="J62" s="63"/>
      <c r="K62" s="63"/>
      <c r="L62" s="63"/>
      <c r="M62" s="63"/>
      <c r="N62" s="63"/>
      <c r="O62" s="63"/>
    </row>
  </sheetData>
  <mergeCells count="5">
    <mergeCell ref="A1:L1"/>
    <mergeCell ref="A3:O3"/>
    <mergeCell ref="A4:L4"/>
    <mergeCell ref="A31:O31"/>
    <mergeCell ref="A46:O46"/>
  </mergeCells>
  <hyperlinks>
    <hyperlink r:id="rId1" ref="I8"/>
    <hyperlink r:id="rId2" ref="O9"/>
    <hyperlink r:id="rId3" ref="I10"/>
    <hyperlink r:id="rId4" ref="J10"/>
    <hyperlink r:id="rId5" ref="I11"/>
    <hyperlink r:id="rId6" ref="J11"/>
    <hyperlink r:id="rId7" ref="O11"/>
    <hyperlink r:id="rId8" ref="I12"/>
    <hyperlink r:id="rId9" ref="J12"/>
    <hyperlink r:id="rId10" ref="J13"/>
    <hyperlink r:id="rId11" ref="J14"/>
    <hyperlink r:id="rId12" ref="O14"/>
    <hyperlink r:id="rId13" ref="I15"/>
    <hyperlink r:id="rId14" ref="J15"/>
    <hyperlink r:id="rId15" ref="O15"/>
    <hyperlink r:id="rId16" ref="J17"/>
    <hyperlink r:id="rId17" ref="I18"/>
    <hyperlink r:id="rId18" ref="J18"/>
    <hyperlink r:id="rId19" ref="O18"/>
    <hyperlink r:id="rId20" ref="I19"/>
    <hyperlink r:id="rId21" ref="J19"/>
    <hyperlink r:id="rId22" ref="O19"/>
    <hyperlink r:id="rId23" ref="I20"/>
    <hyperlink r:id="rId24" ref="J20"/>
    <hyperlink r:id="rId25" ref="I21"/>
    <hyperlink r:id="rId26" ref="J21"/>
    <hyperlink r:id="rId27" ref="O21"/>
    <hyperlink r:id="rId28" ref="I23"/>
    <hyperlink r:id="rId29" location="slide=id.g26381a553f_0_12" ref="J23"/>
    <hyperlink r:id="rId30" ref="I24"/>
    <hyperlink r:id="rId31" ref="J24"/>
    <hyperlink r:id="rId32" ref="O24"/>
    <hyperlink r:id="rId33" ref="J25"/>
    <hyperlink r:id="rId34" ref="I26"/>
    <hyperlink r:id="rId35" ref="J26"/>
    <hyperlink r:id="rId36" ref="I34"/>
    <hyperlink r:id="rId37" ref="I35"/>
    <hyperlink r:id="rId38" location="/" ref="J35"/>
    <hyperlink r:id="rId39" ref="I36"/>
    <hyperlink r:id="rId40" ref="J36"/>
    <hyperlink r:id="rId41" ref="O36"/>
    <hyperlink r:id="rId42" ref="I38"/>
    <hyperlink r:id="rId43" ref="J38"/>
    <hyperlink r:id="rId44" ref="I39"/>
    <hyperlink r:id="rId45" location="slide=id.g1ffd21a43e_0_550" ref="J39"/>
    <hyperlink r:id="rId46" ref="J48"/>
    <hyperlink r:id="rId47" location="slide=id.g26393b6eaa_0_72" ref="I49"/>
    <hyperlink r:id="rId48" ref="J51"/>
    <hyperlink r:id="rId49" ref="O51"/>
    <hyperlink r:id="rId50" ref="J53"/>
    <hyperlink r:id="rId51" ref="I55"/>
    <hyperlink r:id="rId52" ref="L55"/>
    <hyperlink r:id="rId53" ref="O56"/>
    <hyperlink r:id="rId54" ref="I57"/>
    <hyperlink r:id="rId55" ref="J57"/>
    <hyperlink r:id="rId56" ref="I58"/>
    <hyperlink r:id="rId57" ref="J58"/>
    <hyperlink r:id="rId58" ref="O58"/>
    <hyperlink r:id="rId59" ref="I59"/>
    <hyperlink r:id="rId60" ref="J59"/>
    <hyperlink r:id="rId61" ref="O59"/>
    <hyperlink r:id="rId62" ref="J60"/>
    <hyperlink r:id="rId63" location="gid=0" ref="I61"/>
  </hyperlinks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7" t="s">
        <v>224</v>
      </c>
      <c r="L1" s="68">
        <v>101.0</v>
      </c>
      <c r="S1" s="69">
        <v>108.0</v>
      </c>
    </row>
    <row r="2" ht="39.0" customHeight="1">
      <c r="A2" s="42"/>
      <c r="B2" s="70" t="s">
        <v>225</v>
      </c>
      <c r="C2" s="71"/>
      <c r="D2" s="71"/>
      <c r="E2" s="71"/>
      <c r="F2" s="71"/>
      <c r="G2" s="72"/>
      <c r="H2" s="42"/>
      <c r="I2" s="42"/>
      <c r="J2" s="42"/>
      <c r="K2" s="42"/>
      <c r="L2" s="73" t="s">
        <v>226</v>
      </c>
      <c r="M2" s="71"/>
      <c r="N2" s="71"/>
      <c r="O2" s="71"/>
      <c r="P2" s="71"/>
      <c r="Q2" s="42"/>
      <c r="R2" s="42"/>
      <c r="S2" s="67" t="s">
        <v>227</v>
      </c>
      <c r="T2" s="42"/>
      <c r="U2" s="67" t="s">
        <v>226</v>
      </c>
      <c r="X2" s="42"/>
    </row>
    <row r="3" ht="39.0" customHeight="1">
      <c r="A3" s="74"/>
      <c r="C3" s="15"/>
      <c r="D3" s="75"/>
      <c r="E3" s="76"/>
      <c r="F3" s="76"/>
      <c r="G3" s="77"/>
      <c r="H3" s="42"/>
      <c r="I3" s="42"/>
      <c r="J3" s="42"/>
      <c r="K3" s="74"/>
      <c r="L3" s="76"/>
      <c r="M3" s="75"/>
      <c r="O3" s="75"/>
      <c r="P3" s="76"/>
      <c r="Q3" s="78"/>
      <c r="R3" s="42"/>
      <c r="S3" s="76"/>
      <c r="T3" s="76"/>
      <c r="U3" s="76"/>
      <c r="V3" s="76"/>
      <c r="W3" s="76"/>
      <c r="X3" s="42"/>
    </row>
    <row r="4" ht="39.0" customHeight="1">
      <c r="A4" s="74"/>
      <c r="B4" s="76"/>
      <c r="C4" s="75"/>
      <c r="D4" s="76"/>
      <c r="E4" s="12"/>
      <c r="F4" s="76"/>
      <c r="G4" s="79" t="s">
        <v>228</v>
      </c>
      <c r="H4" s="42"/>
      <c r="I4" s="42"/>
      <c r="J4" s="42"/>
      <c r="K4" s="74"/>
      <c r="L4" s="75"/>
      <c r="M4" s="76"/>
      <c r="N4" s="12"/>
      <c r="O4" s="80"/>
      <c r="P4" s="76"/>
      <c r="Q4" s="78"/>
      <c r="R4" s="42"/>
      <c r="S4" s="76"/>
      <c r="T4" s="76"/>
      <c r="U4" s="75"/>
      <c r="V4" s="80"/>
      <c r="W4" s="75"/>
      <c r="X4" s="42"/>
    </row>
    <row r="5" ht="39.0" customHeight="1">
      <c r="A5" s="74"/>
      <c r="B5" s="76"/>
      <c r="C5" s="76"/>
      <c r="D5" s="75"/>
      <c r="E5" s="76"/>
      <c r="F5" s="76"/>
      <c r="G5" s="76"/>
      <c r="H5" s="42"/>
      <c r="I5" s="42"/>
      <c r="J5" s="42"/>
      <c r="K5" s="74"/>
      <c r="L5" s="76"/>
      <c r="M5" s="76"/>
      <c r="N5" s="75"/>
      <c r="O5" s="76"/>
      <c r="P5" s="75"/>
      <c r="Q5" s="78"/>
      <c r="R5" s="42"/>
      <c r="S5" s="76"/>
      <c r="T5" s="76"/>
      <c r="U5" s="75"/>
      <c r="V5" s="76"/>
      <c r="W5" s="76"/>
      <c r="X5" s="42"/>
    </row>
    <row r="6" ht="39.0" customHeight="1">
      <c r="A6" s="74"/>
      <c r="B6" s="76"/>
      <c r="C6" s="76"/>
      <c r="D6" s="76"/>
      <c r="E6" s="80"/>
      <c r="F6" s="76"/>
      <c r="G6" s="77"/>
      <c r="H6" s="42"/>
      <c r="I6" s="42"/>
      <c r="J6" s="42"/>
      <c r="K6" s="74"/>
      <c r="L6" s="76"/>
      <c r="M6" s="76"/>
      <c r="N6" s="75"/>
      <c r="O6" s="76"/>
      <c r="P6" s="76"/>
      <c r="Q6" s="78"/>
      <c r="R6" s="42"/>
      <c r="S6" s="76"/>
      <c r="T6" s="76"/>
      <c r="U6" s="75"/>
      <c r="V6" s="76"/>
      <c r="W6" s="76"/>
      <c r="X6" s="42"/>
    </row>
    <row r="7" ht="39.0" customHeight="1">
      <c r="A7" s="74"/>
      <c r="B7" s="76"/>
      <c r="C7" s="81"/>
      <c r="D7" s="76"/>
      <c r="E7" s="76"/>
      <c r="F7" s="76"/>
      <c r="G7" s="79" t="s">
        <v>227</v>
      </c>
      <c r="H7" s="42"/>
      <c r="I7" s="42"/>
      <c r="J7" s="42"/>
      <c r="K7" s="74"/>
      <c r="L7" s="76"/>
      <c r="M7" s="75"/>
      <c r="N7" s="75"/>
      <c r="O7" s="75"/>
      <c r="P7" s="76"/>
      <c r="Q7" s="78"/>
      <c r="R7" s="42"/>
      <c r="S7" s="76"/>
      <c r="T7" s="76"/>
      <c r="U7" s="75"/>
      <c r="V7" s="76"/>
      <c r="W7" s="76"/>
      <c r="X7" s="42"/>
    </row>
    <row r="8" ht="39.0" customHeight="1">
      <c r="A8" s="74"/>
      <c r="B8" s="76"/>
      <c r="C8" s="82"/>
      <c r="D8" s="76"/>
      <c r="E8" s="76"/>
      <c r="F8" s="76"/>
      <c r="G8" s="76"/>
      <c r="H8" s="15"/>
      <c r="I8" s="15"/>
      <c r="J8" s="15"/>
      <c r="K8" s="83" t="s">
        <v>227</v>
      </c>
      <c r="L8" s="76"/>
      <c r="M8" s="76"/>
      <c r="N8" s="75"/>
      <c r="O8" s="84"/>
      <c r="P8" s="76"/>
      <c r="Q8" s="78"/>
      <c r="R8" s="42"/>
      <c r="S8" s="76"/>
      <c r="T8" s="76"/>
      <c r="U8" s="80"/>
      <c r="V8" s="76"/>
      <c r="W8" s="76"/>
      <c r="X8" s="42"/>
    </row>
    <row r="9" ht="39.0" customHeight="1">
      <c r="A9" s="74"/>
      <c r="B9" s="76"/>
      <c r="C9" s="76"/>
      <c r="D9" s="76"/>
      <c r="E9" s="76"/>
      <c r="F9" s="76"/>
      <c r="G9" s="76"/>
      <c r="H9" s="42"/>
      <c r="I9" s="42"/>
      <c r="J9" s="42"/>
      <c r="K9" s="74"/>
      <c r="L9" s="76"/>
      <c r="M9" s="76"/>
      <c r="N9" s="76"/>
      <c r="O9" s="76"/>
      <c r="P9" s="77"/>
      <c r="Q9" s="78"/>
      <c r="R9" s="42"/>
      <c r="S9" s="76"/>
      <c r="T9" s="76"/>
      <c r="U9" s="76"/>
      <c r="V9" s="76"/>
      <c r="W9" s="77"/>
      <c r="X9" s="42"/>
    </row>
    <row r="10" ht="39.0" customHeight="1">
      <c r="A10" s="42"/>
      <c r="B10" s="85"/>
      <c r="C10" s="85"/>
      <c r="D10" s="85"/>
      <c r="E10" s="85"/>
      <c r="F10" s="85"/>
      <c r="G10" s="85"/>
      <c r="H10" s="42"/>
      <c r="I10" s="42"/>
      <c r="J10" s="42"/>
      <c r="K10" s="42"/>
      <c r="L10" s="85"/>
      <c r="M10" s="85"/>
      <c r="N10" s="85"/>
      <c r="O10" s="85"/>
      <c r="P10" s="85"/>
      <c r="Q10" s="42"/>
      <c r="R10" s="42"/>
      <c r="S10" s="42"/>
      <c r="T10" s="42"/>
      <c r="U10" s="42"/>
      <c r="V10" s="42"/>
      <c r="W10" s="42"/>
      <c r="X10" s="42"/>
    </row>
    <row r="11" ht="39.0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ht="39.0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</row>
    <row r="13" ht="39.0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ht="39.0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ht="39.0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 ht="39.0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ht="39.0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 ht="39.0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</row>
    <row r="19" ht="39.0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ht="39.0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ht="39.0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ht="39.0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ht="39.0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ht="39.0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ht="39.0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ht="39.0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ht="39.0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ht="39.0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ht="39.0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ht="39.0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ht="39.0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ht="39.0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ht="39.0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ht="39.0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39.0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39.0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39.0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ht="39.0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39.0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ht="39.0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ht="39.0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ht="39.0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39.0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39.0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39.0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39.0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39.0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39.0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39.0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39.0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39.0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39.0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39.0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39.0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39.0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39.0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 ht="39.0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39.0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ht="39.0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ht="39.0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ht="39.0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ht="39.0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 ht="39.0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 ht="39.0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ht="39.0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 ht="39.0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ht="39.0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 ht="39.0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</row>
    <row r="69" ht="39.0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</row>
    <row r="70" ht="39.0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</row>
    <row r="71" ht="39.0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</row>
    <row r="72" ht="39.0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</row>
    <row r="73" ht="39.0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</row>
    <row r="74" ht="39.0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</row>
    <row r="75" ht="39.0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</row>
    <row r="76" ht="39.0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</row>
    <row r="77" ht="39.0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</row>
    <row r="78" ht="39.0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</row>
    <row r="79" ht="39.0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</row>
    <row r="80" ht="39.0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</row>
    <row r="81" ht="39.0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</row>
    <row r="82" ht="39.0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</row>
    <row r="83" ht="39.0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</row>
    <row r="84" ht="39.0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</row>
    <row r="85" ht="39.0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</row>
    <row r="86" ht="39.0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</row>
    <row r="87" ht="39.0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</row>
    <row r="88" ht="39.0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</row>
    <row r="89" ht="39.0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</row>
    <row r="90" ht="39.0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</row>
    <row r="91" ht="39.0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</row>
    <row r="92" ht="39.0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</row>
    <row r="93" ht="39.0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</row>
    <row r="94" ht="39.0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</row>
    <row r="95" ht="39.0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</row>
    <row r="96" ht="39.0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</row>
    <row r="97" ht="39.0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</row>
    <row r="98" ht="39.0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 ht="39.0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ht="39.0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 ht="39.0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