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<sst xmlns="http://schemas.openxmlformats.org/spreadsheetml/2006/main" count="422" uniqueCount="282">
  <si>
    <t>u</t>
  </si>
  <si>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</si>
  <si>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</si>
  <si>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</si>
  <si>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</si>
  <si>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</si>
  <si>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</si>
  <si>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</si>
  <si>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</si>
  <si>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</si>
  <si>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</si>
  <si>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</si>
  <si>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</si>
  <si>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</si>
  <si>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</si>
  <si>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</si>
  <si>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</si>
  <si>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youtube title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</si>
  <si>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</si>
  <si>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</si>
  <si>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 xml:space="preserve"> ⭐️ 由於本次大松提案已經滿出來了，為了減少切換電腦的時間（以使用講台電腦為主），請大家公開投影片或共筆頁面權限，並填在 J 或 K 欄位唷，感謝大家！⭐️</t>
  </si>
  <si>
    <t>tofus</t>
  </si>
  <si>
    <t>實體出席</t>
  </si>
  <si>
    <t>Y</t>
  </si>
  <si>
    <t>g0v Design</t>
  </si>
  <si>
    <t>開源設計協作模式討論</t>
  </si>
  <si>
    <t>CC-BY</t>
  </si>
  <si>
    <t>待補</t>
  </si>
  <si>
    <t>https://docs.google.com/presentation/d/1aM-HvU2sP_3JxL7x5YEy0DOIGais2KOk/edit?usp=sharing&amp;ouid=117117540953571876315&amp;rtpof=true&amp;sd=true</t>
  </si>
  <si>
    <t>設計、開源、討論</t>
  </si>
  <si>
    <t>設計師、工程師、又或者是想開發專案然後會用到開源設計系統的朋朋</t>
  </si>
  <si>
    <t>@tofus</t>
  </si>
  <si>
    <t>ddio &amp; Ning</t>
  </si>
  <si>
    <t>實體</t>
  </si>
  <si>
    <t>開放永續企業永續資料庫</t>
  </si>
  <si>
    <t>一起來玩工人智慧補完計畫！</t>
  </si>
  <si>
    <t>MIT
CC-BY 4.0</t>
  </si>
  <si>
    <t>https://g0v.hackmd.io/@ddio-io/open-csr-report/https%3A%2F%2Fg0v.hackmd.io%2FvQjhtpASQlygIIetTVAfUQ</t>
  </si>
  <si>
    <t>https://docs.google.com/presentation/d/17UZOjEWXwNjMWzsyd4H4__Tx4DQWfnffxaTzF_GBoek/edit?usp=sharing
https://gcaa-org-tw.github.io/company-report-toolkit/</t>
  </si>
  <si>
    <t>ESG、工人智慧、UIUX</t>
  </si>
  <si>
    <t>關心 ESG 的一般人
前端、UIUX、人工智慧專家</t>
  </si>
  <si>
    <t>#thaubing-esg</t>
  </si>
  <si>
    <t>https://gcaa-org-tw.github.io/company-report-toolkit/</t>
  </si>
  <si>
    <t>進良</t>
  </si>
  <si>
    <t>LLM我的家鄉</t>
  </si>
  <si>
    <t>自己家鄉的LLM</t>
  </si>
  <si>
    <t>Apache License 2.0</t>
  </si>
  <si>
    <t>https://g0v.hackmd.io/OpkxG9b_TZ2klz9p5mswKA</t>
  </si>
  <si>
    <t>https://docs.google.com/presentation/d/1HDAzdcQ9iSkrPAx1ULOAmUHUJWlgmNXB9v54P2LOG0M/edit?usp=sharing</t>
  </si>
  <si>
    <t>LLM、在地、網站</t>
  </si>
  <si>
    <t>好奇願意一起討論整理資料的人, 後端, 前端</t>
  </si>
  <si>
    <t>g0v slack#llm4myhometown @thomas chang</t>
  </si>
  <si>
    <t>Zoey</t>
  </si>
  <si>
    <t>社群活動志工的憑證計畫 x 開源遊樂場</t>
  </si>
  <si>
    <t>回溯性公共投資實驗專案</t>
  </si>
  <si>
    <t>https://docs.google.com/presentation/d/1Z8sGb8MEhTbjvGZpZssd8i9d36YiRUioWyj-ynoQhuk/edit?usp=sharing</t>
  </si>
  <si>
    <t>開源、web3 、資源分配</t>
  </si>
  <si>
    <t>想了解新型資源分配型態的人！</t>
  </si>
  <si>
    <t>g0v slack da0 @zoeytseng</t>
  </si>
  <si>
    <t>T</t>
  </si>
  <si>
    <t>選戰攻防大事記</t>
  </si>
  <si>
    <t>用時間軸來視覺化呈現選舉期間，各位總統候選人的議題論述與攻防</t>
  </si>
  <si>
    <t>CC0, CC BY-NC-SA 4.0</t>
  </si>
  <si>
    <t>https://hackmd.io/@cyh2/H1yrFG8hn/edit</t>
  </si>
  <si>
    <t>https://docs.google.com/presentation/d/1EYCQQ6KawurbEEAyQDFBBscouPxSA67qh9NjVHGw2wg/edit?usp=sharing</t>
  </si>
  <si>
    <t>選舉、視覺化、事實查核</t>
  </si>
  <si>
    <t>網站前後端、社群媒體宣傳、任何對選戰感興趣的人~</t>
  </si>
  <si>
    <t>g0v slack #election-timeline @T</t>
  </si>
  <si>
    <t>SeanGau</t>
  </si>
  <si>
    <t>Joinplus</t>
  </si>
  <si>
    <t>來繪製總統府府前廣場的空間願景吧 🙋‍♀️ Collage 工具使用經驗蒐集</t>
  </si>
  <si>
    <t>GNU GPL V3</t>
  </si>
  <si>
    <t>http://jointw.plus/</t>
  </si>
  <si>
    <t>https://plaza.jointw.plus/</t>
  </si>
  <si>
    <t>y</t>
  </si>
  <si>
    <t xml:space="preserve">公民參與的數位工具, LLM+JOIN 平台, 空間改造意見蒐集工具 </t>
  </si>
  <si>
    <t>想運用數位工具擴大公民參與的人</t>
  </si>
  <si>
    <r>
      <rPr/>
      <t xml:space="preserve">g0v slack #joinplus-關注公民參與的數位工具 @chewei
</t>
    </r>
    <r>
      <rPr>
        <color rgb="FF1155CC"/>
        <sz val="9.0"/>
      </rPr>
      <t>https://www.facebook.com/groups/295496753001414</t>
    </r>
  </si>
  <si>
    <t>Paul</t>
  </si>
  <si>
    <t>new safeID 換洩證號</t>
  </si>
  <si>
    <t>要背新的身分證字號好累喔🥵 
咦為什麼我的身分證字號換了
SRSLY I GOT MY NATIONAL ID NUM CHANGED?!</t>
  </si>
  <si>
    <t>MIT</t>
  </si>
  <si>
    <t>https://g0v.hackmd.io/yZd5nmZWRLqQ2R2kqvcNqg?edit</t>
  </si>
  <si>
    <t>https://g0v.hackmd.io/@yz6FVjJVT4OiPCB8Xcz9Fw/S1aafNIa3#/</t>
  </si>
  <si>
    <t>q</t>
  </si>
  <si>
    <t>個資隱私、反詐騙、低技術門檻
data-privacy, anti-scam, low-tech</t>
  </si>
  <si>
    <t>會做長輩圖的人, 會寫作文的人, 會打字的人, 平面設計師, 前端開發者, 會下 prompt 生圖的人, 會創作短影音的人
who can make taiwanese boomer meme, who can compose social media post(or msg), who can type in mandarin chinese or english, graphic desinger, front-end dev, who can generate image or video with AIGC tools, who can shot or make short video (like tiktok)</t>
  </si>
  <si>
    <t>g0v slack #privacy @paulplastic</t>
  </si>
  <si>
    <t>Tiff</t>
  </si>
  <si>
    <t>零時小學校</t>
  </si>
  <si>
    <t>零時小學校數位公民課回饋與優化</t>
  </si>
  <si>
    <t>CC BY 4.0</t>
  </si>
  <si>
    <t>https://g0v.hackmd.io/@jothon/Sch001courses/%2F_qZzPfkmTFih6eQE7lCS6g</t>
  </si>
  <si>
    <t>https://docs.google.com/presentation/d/1uKFWy9fmjBf0pC5BkVgFJHX-ZoYhZdplXo53wN9XH4I/edit?usp=sharing</t>
  </si>
  <si>
    <t>數位公民素養、與社群共學、PBL</t>
  </si>
  <si>
    <t>工作坊希望能夠邀請有參與過零時小學校今年營隊的夥伴給予回饋</t>
  </si>
  <si>
    <t>@Tiff @Yi</t>
  </si>
  <si>
    <t>gavin</t>
  </si>
  <si>
    <t>公民科技-去中心化通訊練習</t>
  </si>
  <si>
    <t>去中心化通訊練習</t>
  </si>
  <si>
    <t>CC BY-NC-SA 3.0 TW</t>
  </si>
  <si>
    <t>https://docs.google.com/presentation/d/18-ND2sDjtm-wF_09rRtqgc_sn0r78MptXpZMNag7LTY/edit?usp=sharing</t>
  </si>
  <si>
    <t>去中心化通訊、協力定位、COT</t>
  </si>
  <si>
    <t>討論.實作.修改功能</t>
  </si>
  <si>
    <t>@gavin</t>
  </si>
  <si>
    <t>Yanyiyi(雁子)</t>
  </si>
  <si>
    <t>追逐記憶的孩子</t>
  </si>
  <si>
    <t>追逐記憶的孩子！持續追追那些拿公帑建立與公開的文化資料後面怎麼了</t>
  </si>
  <si>
    <t>CC0, MIT</t>
  </si>
  <si>
    <t>https://g0v.hackmd.io/prvzo96zSlu8P1IXmzu-6Q?edit</t>
  </si>
  <si>
    <r>
      <rPr>
        <color rgb="FF1155CC"/>
        <u/>
      </rPr>
      <t>專案：</t>
    </r>
    <r>
      <rPr>
        <color rgb="FF1155CC"/>
        <u/>
      </rPr>
      <t xml:space="preserve">https://github.com/yanyiyi/TCMB_ApplyCollect
</t>
    </r>
    <r>
      <rPr>
        <color rgb="FF1155CC"/>
        <u/>
      </rPr>
      <t>爬下的資料：</t>
    </r>
    <r>
      <rPr>
        <color rgb="FF1155CC"/>
        <u/>
      </rPr>
      <t xml:space="preserve">https://airtable.com/appzIl8Jc28a6YWuw/shrYASOGsYwtsYI0H
</t>
    </r>
    <r>
      <rPr>
        <color rgb="FF1155CC"/>
        <u/>
      </rPr>
      <t xml:space="preserve">簡報：
</t>
    </r>
    <r>
      <rPr>
        <color rgb="FF1155CC"/>
        <u/>
      </rPr>
      <t>https://g0v.hackmd.io/@Yanyiyi/Chasing#/</t>
    </r>
  </si>
  <si>
    <t>文化、開放資料、應用</t>
  </si>
  <si>
    <t>1. 找找怎進一步解讀這些爬下來的資料的朋友
2. 找有興趣一起「工人智慧」的
3. 對各種文化資料有興趣的朋友</t>
  </si>
  <si>
    <t>@yanyiyi</t>
  </si>
  <si>
    <t>Peter / shu</t>
  </si>
  <si>
    <t xml:space="preserve">vTaiwan </t>
  </si>
  <si>
    <t xml:space="preserve">Democratic Input to AI Project </t>
  </si>
  <si>
    <t>https://g0v.hackmd.io/@Pno233SAS8G5UfL5OvSRmA/H12k3-Oqn</t>
  </si>
  <si>
    <t>https://docs.google.com/presentation/d/1m78jkXtli04FLIDWujiv2KPJPzWC3CWbrIIZPzMOJsY/edit?usp=sharing</t>
  </si>
  <si>
    <t xml:space="preserve">vTaiwan, AI, </t>
  </si>
  <si>
    <t>討論與紀錄、聯繫、擴散</t>
  </si>
  <si>
    <t>@sylin @peter</t>
  </si>
  <si>
    <t xml:space="preserve">Peter </t>
  </si>
  <si>
    <t xml:space="preserve">Summit </t>
  </si>
  <si>
    <t>Summit 開坑拉！！！！</t>
  </si>
  <si>
    <t>https://g0v.hackmd.io/@summit2024/book</t>
  </si>
  <si>
    <t>https://docs.google.com/presentation/d/1QZxDR1fKWGYguBr_lyh_sYgGfLgTTod2gIPdeFf0uLY/edit?usp=sharing</t>
  </si>
  <si>
    <t>g0v Summit 2024, 網站設計媒體議程組徵人！</t>
  </si>
  <si>
    <t>協助議程、聯繫、網站、媒體、設計</t>
  </si>
  <si>
    <t>@peter</t>
  </si>
  <si>
    <t>ky</t>
  </si>
  <si>
    <t>g0v-siliconvalley</t>
  </si>
  <si>
    <t>g0v 矽谷灣區社群之海外 g0v 社群的建構與治理？</t>
  </si>
  <si>
    <t>https://g0v.hackmd.io/@jothon/B1W8Zewph</t>
  </si>
  <si>
    <t>https://docs.google.com/presentation/d/1VH3Z7WtXNSvVDjKMmPMJHkGFpuXQ8D4bNC1XHWE1slw/edit?usp=sharing</t>
  </si>
  <si>
    <t>y...?</t>
  </si>
  <si>
    <t>g0v, 基礎建設, 海外</t>
  </si>
  <si>
    <t>Any</t>
  </si>
  <si>
    <t>@ky</t>
  </si>
  <si>
    <t>chewei</t>
  </si>
  <si>
    <t>#gis channel</t>
  </si>
  <si>
    <t>地點型營隊活動的數位基礎建設方案 - 10月份臺北關渡工作坊 / 苑裡鎮決標案件地圖</t>
  </si>
  <si>
    <t>https://g0v.hackmd.io/@chewei/gis/https%3A%2F%2Fg0v.hackmd.io%2F%40chewei%2Fguandu%2F</t>
  </si>
  <si>
    <t>https://sites.google.com/view/yuanlitown/%E9%A6%96%E9%A0%81</t>
  </si>
  <si>
    <t>關渡, GIS, 營隊</t>
  </si>
  <si>
    <t>GIS, 辦營隊, Crowdsourcing</t>
  </si>
  <si>
    <t>#gis @chewei</t>
  </si>
  <si>
    <t>bil</t>
  </si>
  <si>
    <t>Cofacts 真的假的</t>
  </si>
  <si>
    <t>聊聊 HuggingFace 使用經驗、Securing public API、逐字稿協作經驗</t>
  </si>
  <si>
    <t>MIT, CC-BYSA</t>
  </si>
  <si>
    <t>https://cofacts.tw/hack</t>
  </si>
  <si>
    <t>https://docs.google.com/presentation/d/1KEosMzwvOU1fHtBLoMe_X7d-weecTJ_S213g9f7Cr3c/edit#slide=id.p</t>
  </si>
  <si>
    <t>程式開發、事實查核、AI</t>
  </si>
  <si>
    <t>使用 HuggingFace 資料的人、NextJS / GraphQL 工程師、逐字稿協作</t>
  </si>
  <si>
    <t>g0v slack #cofacts @bil @mrorz</t>
  </si>
  <si>
    <t>== 截止 ==</t>
  </si>
  <si>
    <t>用這個欄位來感謝辛苦的大松小幫手志工&amp;揪松團職工與志工！感謝泥們！</t>
  </si>
  <si>
    <t xml:space="preserve"> \ 本次提案已滿XD /  \ 以下候補提案，將提供「一分鐘」提案發表時間 / </t>
  </si>
  <si>
    <t>候補1</t>
  </si>
  <si>
    <t>Bestian</t>
  </si>
  <si>
    <t>教育元語言</t>
  </si>
  <si>
    <t>一種專門為了教育方式或學習方法分享而設計的Markdown之子語言npm套件。例如：「步驟」(一種固定格式的小階梯說明文) meta languages for edu( a set of sublanguage of Markdown ) npm package, e.x. step</t>
  </si>
  <si>
    <t>https://hackmd.io/gBL8KHmuQ6Gvm1sQmudDZw?both</t>
  </si>
  <si>
    <t>候補2</t>
  </si>
  <si>
    <t>恩濡</t>
  </si>
  <si>
    <t>國際民主教育論壇（IDEC）線上年會</t>
  </si>
  <si>
    <t>國際民主教育論壇（IDEC）線上年會規劃中，有沒有人有興趣~?</t>
  </si>
  <si>
    <t>https://hackmd.io/@Angie/2024idechybrid/edit</t>
  </si>
  <si>
    <t xml:space="preserve">202310黑客松提案：IDEC2024虛擬年會 </t>
  </si>
  <si>
    <t>民主教育，學習者中心，開源年會</t>
  </si>
  <si>
    <t>1.善於企劃虛擬會議
2.善於製作網站
3.善於操作虛擬軟體</t>
  </si>
  <si>
    <t>g0v slack @恩濡
discord @Angela就是恩濡</t>
  </si>
  <si>
    <t>候補3</t>
  </si>
  <si>
    <t>peii / yukai</t>
  </si>
  <si>
    <t>disfactory</t>
  </si>
  <si>
    <t>環境議題結合科技工具，抓出危害環境的違章工廠，監督政府好好執法</t>
  </si>
  <si>
    <t>https://g0v.hackmd.io/0r8-UYTHRCmp33nt59ogww</t>
  </si>
  <si>
    <t>https://docs.google.com/presentation/d/1qENygOh17FvZyCswfEGskSZ21qKlTdkWTgLL3aN7RjI/edit#slide=id.g23ec3a47f94_2_75</t>
  </si>
  <si>
    <t>環境議題, 麥當勞 , crowdsoucing</t>
  </si>
  <si>
    <t>後端, pm , 資料研究</t>
  </si>
  <si>
    <t>14:30【8分鐘短講報名】
每個 present 8min，分享議題、專案、研究、技術皆可。</t>
  </si>
  <si>
    <t>順序</t>
  </si>
  <si>
    <t>發表時間（自填）</t>
  </si>
  <si>
    <t>發表者</t>
  </si>
  <si>
    <t>錄影以 CC-BY 釋出?</t>
  </si>
  <si>
    <t>主題</t>
  </si>
  <si>
    <t>相關連結</t>
  </si>
  <si>
    <t>三個關鍵字</t>
  </si>
  <si>
    <t>專案徵人</t>
  </si>
  <si>
    <t>Ｙ</t>
  </si>
  <si>
    <t>Experience NTU</t>
  </si>
  <si>
    <t>Experience NTU：
臺大的開源設計系統</t>
  </si>
  <si>
    <t>https://www.figma.com/proto/ylvyTJZ5T3bMet4Jd6smV1/Experience-NTU-Design-System?page-id=91%3A252&amp;type=design&amp;node-id=91-253&amp;viewport=148%2C279%2C0.04&amp;t=yeSugob6Nn9dYKxC-1&amp;scaling=contain&amp;mode=design</t>
  </si>
  <si>
    <t>ronny</t>
  </si>
  <si>
    <t>開放政治獻金的連署歷程</t>
  </si>
  <si>
    <t>https://docs.google.com/presentation/d/1Dknup0Kzd2vE3Apx7TD4lfimwGkKkW6vVAbxZTVpBas/edit#slide=id.p</t>
  </si>
  <si>
    <t>slack #open-moneyflow</t>
  </si>
  <si>
    <t>Peter + chihao</t>
  </si>
  <si>
    <t>一起來去 CFJ SUMMIT 2023 + CFK SUMMIT 2023！</t>
  </si>
  <si>
    <t>https://g0v.hackmd.io/@Pno233SAS8G5UfL5OvSRmA/HkVfA6Ba2</t>
  </si>
  <si>
    <t>https://docs.google.com/presentation/d/1Qn9pa7I8Ks1nDFstN1IEuFF0WyiAIVCzjNV8Fe6OTJs/edit?usp=sharing</t>
  </si>
  <si>
    <t>CFJ Summit 2023</t>
  </si>
  <si>
    <t>本期開放4位8分鐘</t>
  </si>
  <si>
    <t>17:00【 present project】 規則：
每個 present 5min，可視 project 數量和剩餘時間調整</t>
  </si>
  <si>
    <t>Teemo</t>
  </si>
  <si>
    <t>PTT不能亡</t>
  </si>
  <si>
    <t xml:space="preserve"> 2023夏季版本發布啦</t>
  </si>
  <si>
    <t>https://hackmd.io/@twbbs/20230716_PTT_APP_ReleaseNotes</t>
  </si>
  <si>
    <t>https://lihi3.cc/WE0v5</t>
  </si>
  <si>
    <t>@Teemo</t>
  </si>
  <si>
    <t>RSChiang</t>
  </si>
  <si>
    <t>summit</t>
  </si>
  <si>
    <t>今日宣傳組 co-work 進度</t>
  </si>
  <si>
    <t>2023-08 g0v summit 2024.pdf</t>
  </si>
  <si>
    <t>https://www.figma.com/file/GyTPa3fixfTO4OkLA90Wba/summit-2024</t>
  </si>
  <si>
    <t>Ronny</t>
  </si>
  <si>
    <t>戰爭網路模擬器</t>
  </si>
  <si>
    <t>BSD</t>
  </si>
  <si>
    <t>https://g0v.hackmd.io/UkmNKU9AQKC1uDgVddEu-g?view</t>
  </si>
  <si>
    <t>ddio</t>
  </si>
  <si>
    <t>chihao</t>
  </si>
  <si>
    <t>CoC 翻譯 by slc / Summit 贊助組進度</t>
  </si>
  <si>
    <t>https://g0v.hackmd.io/Byh1FXqLRyOeXgnrR4NEgw?both</t>
  </si>
  <si>
    <t>https://docs.google.com/document/d/1xeira2QFQ-Ka6XQH508PI_O_iAMJlW4GUZI9C_Z7fw8/edit</t>
  </si>
  <si>
    <t>Joinplus 問卷進度、Collage 工具應用</t>
  </si>
  <si>
    <r>
      <rPr/>
      <t xml:space="preserve">g0v slack #joinplus-關注公民參與的數位工具 @chewei
</t>
    </r>
    <r>
      <rPr>
        <color rgb="FF1155CC"/>
        <sz val="9.0"/>
      </rPr>
      <t>https://www.facebook.com/groups/295496753001414</t>
    </r>
  </si>
  <si>
    <t>Jonas, chewei</t>
  </si>
  <si>
    <t>關渡 workshop</t>
  </si>
  <si>
    <t>Guandu Hackathon</t>
  </si>
  <si>
    <t>www.hackyourdistrict.com</t>
  </si>
  <si>
    <t>irvin</t>
  </si>
  <si>
    <t>代名詞貼紙</t>
  </si>
  <si>
    <t>代名詞貼紙新版</t>
  </si>
  <si>
    <t>CC0</t>
  </si>
  <si>
    <t>http://moztw.org/tg (pridezilla 頻道)</t>
  </si>
  <si>
    <t>https://hackmd.io/@moztw/pronoun_stickers</t>
  </si>
  <si>
    <t>性別, DEI, pronoun 代名詞</t>
  </si>
  <si>
    <t>設計, 宣傳</t>
  </si>
  <si>
    <t>@irvin</t>
  </si>
  <si>
    <t>MrOrz</t>
  </si>
  <si>
    <t>謝謝貢獻者：https://g0v.hackmd.io/uO2pc1SlQCqtK7WZBknBZw?view#%E5%8D%94%E4%BD%9C</t>
  </si>
  <si>
    <t>https://g0v.hackmd.io/uO2pc1SlQCqtK7WZBknBZw?view#%E5%8D%94%E4%BD%9C</t>
  </si>
  <si>
    <t>Yi</t>
  </si>
  <si>
    <t>分享收集到營隊的回饋</t>
  </si>
  <si>
    <t>揪松團</t>
  </si>
  <si>
    <t>歡迎大家填寫影響力問卷</t>
  </si>
  <si>
    <t>中文版：https://bit.ly/0123g0vsurvey</t>
  </si>
  <si>
    <t>英文版：https://forms.gle/t9CrFEHtMGQ253JBA</t>
  </si>
  <si>
    <t>101 外</t>
  </si>
  <si>
    <t>白板</t>
  </si>
  <si>
    <t>2024 summit</t>
  </si>
  <si>
    <t>LLM 我的家鄉</t>
  </si>
  <si>
    <t>廁所
茶水間</t>
  </si>
  <si>
    <t>透明足跡</t>
  </si>
  <si>
    <t>new safeID
換號</t>
  </si>
  <si>
    <t>Mesh 野外搜救</t>
  </si>
  <si>
    <t>門</t>
  </si>
  <si>
    <t>cofact</t>
  </si>
  <si>
    <t>vTaiwan</t>
  </si>
  <si>
    <t>Disfactory</t>
  </si>
  <si>
    <t>Jothon 貢獻憑證計畫</t>
  </si>
  <si>
    <t>107 開場場地</t>
  </si>
  <si>
    <t>開場場地外大廳</t>
  </si>
  <si>
    <t>投影幕</t>
  </si>
  <si>
    <t>講台</t>
  </si>
  <si>
    <t>零</t>
  </si>
  <si>
    <t xml:space="preserve"> 門</t>
  </si>
  <si>
    <t>報到</t>
  </si>
  <si>
    <t>食</t>
  </si>
  <si>
    <t>直播</t>
  </si>
  <si>
    <t>香油錢</t>
  </si>
  <si>
    <t>政</t>
  </si>
  <si>
    <t>貼紙</t>
  </si>
  <si>
    <t>府</t>
  </si>
  <si>
    <t>Common Voice</t>
  </si>
  <si>
    <t>代名詞貼紙 / 彩虹設計</t>
  </si>
  <si>
    <t>舞</t>
  </si>
  <si>
    <t>池</t>
  </si>
  <si>
    <t>飲料桌</t>
  </si>
  <si>
    <t>國際民主教育年會</t>
  </si>
  <si>
    <t>戰時網路模擬器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</si>
</sst>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6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trike/>
      <sz val="10.0"/>
    </font>
    <font>
      <b/>
      <sz val="10.0"/>
    </font>
    <font>
      <b/>
      <sz val="8.0"/>
    </font>
    <font>
      <color rgb="FFFF9900"/>
    </font>
    <font>
      <b/>
      <sz val="12.0"/>
      <name val="Arial"/>
    </font>
    <font>
      <name val="Arial"/>
    </font>
    <font>
      <sz val="10.0"/>
      <color rgb="FF000000"/>
    </font>
    <font/>
    <font>
      <u/>
      <color rgb="FF0000FF"/>
    </font>
    <font>
      <sz val="9.0"/>
      <color rgb="FF008000"/>
      <name val="&quot;Google Sans Mono&quot;"/>
    </font>
    <font>
      <u/>
      <color rgb="FF1155CC"/>
    </font>
    <font>
      <u/>
      <color rgb="FF0000FF"/>
    </font>
    <font>
      <color rgb="FF000000"/>
      <name val="Arial"/>
    </font>
    <font>
      <sz val="10.0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sz val="10.0"/>
      <color rgb="FF0000FF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sz val="10.0"/>
      <color rgb="FF1F2328"/>
      <name val="Arial"/>
    </font>
    <font>
      <u/>
      <color rgb="FF0000FF"/>
    </font>
    <font>
      <u/>
      <sz val="9.0"/>
      <color rgb="FF000000"/>
      <name val="&quot;Google Sans&quot;"/>
    </font>
    <font>
      <u/>
      <sz val="12.0"/>
      <color rgb="FF0000FF"/>
    </font>
    <font>
      <u/>
      <color rgb="FF0000FF"/>
    </font>
    <font>
      <u/>
      <sz val="10.0"/>
      <color rgb="FF0000FF"/>
    </font>
    <font>
      <u/>
      <sz val="11.0"/>
      <color rgb="FF2B80B9"/>
    </font>
    <font>
      <sz val="9.0"/>
      <name val="Arial"/>
    </font>
    <font>
      <sz val="9.0"/>
    </font>
    <font>
      <sz val="9.0"/>
      <color rgb="FF000000"/>
      <name val="&quot;arial&quot;"/>
    </font>
    <font>
      <sz val="9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0" fillId="5" fontId="7" numFmtId="0" xfId="0" applyAlignment="1" applyFill="1" applyFont="1">
      <alignment shrinkToFit="0" vertical="center" wrapText="1"/>
    </xf>
    <xf borderId="2" fillId="5" fontId="8" numFmtId="0" xfId="0" applyAlignment="1" applyBorder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20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7" fontId="12" numFmtId="0" xfId="0" applyAlignment="1" applyFill="1" applyFont="1">
      <alignment shrinkToFit="0" wrapText="1"/>
    </xf>
    <xf borderId="0" fillId="0" fontId="13" numFmtId="0" xfId="0" applyAlignment="1" applyFont="1">
      <alignment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0" fillId="0" fontId="14" numFmtId="0" xfId="0" applyAlignment="1" applyFont="1">
      <alignment readingOrder="0" shrinkToFit="0" vertical="center" wrapText="1"/>
    </xf>
    <xf borderId="0" fillId="7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wrapText="1"/>
    </xf>
    <xf borderId="0" fillId="6" fontId="10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top" wrapText="1"/>
    </xf>
    <xf borderId="0" fillId="7" fontId="0" numFmtId="0" xfId="0" applyAlignment="1" applyFont="1">
      <alignment readingOrder="0" shrinkToFit="0" vertical="center" wrapText="1"/>
    </xf>
    <xf borderId="0" fillId="7" fontId="21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quotePrefix="1" borderId="0" fillId="0" fontId="10" numFmtId="0" xfId="0" applyAlignment="1" applyFont="1">
      <alignment readingOrder="0" shrinkToFit="0" vertical="center" wrapText="1"/>
    </xf>
    <xf borderId="0" fillId="6" fontId="10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3" fillId="5" fontId="8" numFmtId="0" xfId="0" applyAlignment="1" applyBorder="1" applyFont="1">
      <alignment shrinkToFit="0" vertical="bottom" wrapText="1"/>
    </xf>
    <xf borderId="0" fillId="7" fontId="25" numFmtId="0" xfId="0" applyAlignment="1" applyFont="1">
      <alignment readingOrder="0" shrinkToFit="0" vertical="center" wrapText="1"/>
    </xf>
    <xf borderId="0" fillId="7" fontId="25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28" numFmtId="0" xfId="0" applyAlignment="1" applyFont="1">
      <alignment readingOrder="0" shrinkToFit="0" wrapText="1"/>
    </xf>
    <xf borderId="0" fillId="0" fontId="16" numFmtId="20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8" fontId="10" numFmtId="0" xfId="0" applyAlignment="1" applyFill="1" applyFont="1">
      <alignment shrinkToFit="0" vertical="center" wrapText="1"/>
    </xf>
    <xf borderId="0" fillId="8" fontId="16" numFmtId="0" xfId="0" applyAlignment="1" applyFont="1">
      <alignment horizontal="center" readingOrder="0" shrinkToFit="0" vertical="center" wrapText="1"/>
    </xf>
    <xf borderId="0" fillId="8" fontId="10" numFmtId="0" xfId="0" applyAlignment="1" applyFont="1">
      <alignment horizontal="center" shrinkToFit="0" vertical="center" wrapText="1"/>
    </xf>
    <xf quotePrefix="1" borderId="0" fillId="8" fontId="16" numFmtId="0" xfId="0" applyAlignment="1" applyFont="1">
      <alignment horizontal="center" readingOrder="0" shrinkToFit="0" vertical="center" wrapText="1"/>
    </xf>
    <xf borderId="0" fillId="8" fontId="10" numFmtId="0" xfId="0" applyAlignment="1" applyFont="1">
      <alignment readingOrder="0" shrinkToFit="0" vertical="center" wrapText="1"/>
    </xf>
    <xf borderId="0" fillId="8" fontId="10" numFmtId="0" xfId="0" applyAlignment="1" applyFont="1">
      <alignment horizontal="center" readingOrder="0" shrinkToFit="0" vertical="center" wrapText="1"/>
    </xf>
    <xf borderId="0" fillId="9" fontId="10" numFmtId="0" xfId="0" applyAlignment="1" applyFill="1" applyFont="1">
      <alignment shrinkToFit="0" wrapText="1"/>
    </xf>
    <xf borderId="0" fillId="3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7" fontId="12" numFmtId="0" xfId="0" applyAlignment="1" applyFont="1">
      <alignment shrinkToFit="0" vertical="center" wrapText="1"/>
    </xf>
    <xf borderId="0" fillId="0" fontId="8" numFmtId="20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0" fillId="7" fontId="16" numFmtId="0" xfId="0" applyAlignment="1" applyFont="1">
      <alignment horizontal="left"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7" fontId="30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7" fontId="16" numFmtId="0" xfId="0" applyAlignment="1" applyFont="1">
      <alignment horizontal="left" readingOrder="0" shrinkToFit="0" vertical="center" wrapText="1"/>
    </xf>
    <xf borderId="0" fillId="5" fontId="10" numFmtId="0" xfId="0" applyAlignment="1" applyFont="1">
      <alignment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10" fontId="33" numFmtId="0" xfId="0" applyAlignment="1" applyFill="1" applyFont="1">
      <alignment horizontal="center" readingOrder="0" shrinkToFit="0" vertical="center" wrapText="1"/>
    </xf>
    <xf borderId="0" fillId="0" fontId="33" numFmtId="0" xfId="0" applyAlignment="1" applyFont="1">
      <alignment shrinkToFit="0" wrapText="1"/>
    </xf>
    <xf borderId="0" fillId="0" fontId="33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readingOrder="0" shrinkToFit="0" vertical="center" wrapText="1"/>
    </xf>
    <xf borderId="5" fillId="0" fontId="32" numFmtId="0" xfId="0" applyAlignment="1" applyBorder="1" applyFont="1">
      <alignment horizontal="center" shrinkToFit="0" vertical="center" wrapText="1"/>
    </xf>
    <xf borderId="6" fillId="0" fontId="32" numFmtId="0" xfId="0" applyAlignment="1" applyBorder="1" applyFont="1">
      <alignment horizontal="center" readingOrder="0" shrinkToFit="0" vertical="center" wrapText="1"/>
    </xf>
    <xf borderId="7" fillId="0" fontId="32" numFmtId="0" xfId="0" applyAlignment="1" applyBorder="1" applyFont="1">
      <alignment horizontal="center" shrinkToFit="0" vertical="center" wrapText="1"/>
    </xf>
    <xf borderId="7" fillId="0" fontId="32" numFmtId="0" xfId="0" applyAlignment="1" applyBorder="1" applyFont="1">
      <alignment horizontal="center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7" fillId="0" fontId="32" numFmtId="0" xfId="0" applyAlignment="1" applyBorder="1" applyFont="1">
      <alignment horizontal="center" readingOrder="0" shrinkToFit="0" vertical="center" wrapText="1"/>
    </xf>
    <xf borderId="7" fillId="7" fontId="32" numFmtId="0" xfId="0" applyAlignment="1" applyBorder="1" applyFont="1">
      <alignment horizontal="center" shrinkToFit="0" vertical="center" wrapText="1"/>
    </xf>
    <xf borderId="8" fillId="0" fontId="33" numFmtId="0" xfId="0" applyAlignment="1" applyBorder="1" applyFont="1">
      <alignment horizontal="center" readingOrder="0" shrinkToFit="0" vertical="center" wrapText="1"/>
    </xf>
    <xf borderId="9" fillId="0" fontId="32" numFmtId="0" xfId="0" applyAlignment="1" applyBorder="1" applyFont="1">
      <alignment horizontal="center" shrinkToFit="0" vertical="center" wrapText="1"/>
    </xf>
    <xf borderId="9" fillId="0" fontId="32" numFmtId="0" xfId="0" applyAlignment="1" applyBorder="1" applyFont="1">
      <alignment horizontal="center" readingOrder="0" shrinkToFit="0" vertical="center" wrapText="1"/>
    </xf>
    <xf borderId="9" fillId="0" fontId="33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0" fillId="0" fontId="32" numFmtId="0" xfId="0" applyAlignment="1" applyBorder="1" applyFont="1">
      <alignment horizontal="center" readingOrder="0" shrinkToFit="0" vertical="center" wrapText="1"/>
    </xf>
    <xf borderId="11" fillId="0" fontId="32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7" fillId="0" fontId="33" numFmtId="0" xfId="0" applyAlignment="1" applyBorder="1" applyFont="1">
      <alignment horizontal="center" readingOrder="0" shrinkToFit="0" vertical="center" wrapText="1"/>
    </xf>
    <xf borderId="10" fillId="7" fontId="35" numFmtId="0" xfId="0" applyAlignment="1" applyBorder="1" applyFont="1">
      <alignment horizontal="center" readingOrder="0" shrinkToFit="0" vertical="center" wrapText="1"/>
    </xf>
    <xf borderId="11" fillId="7" fontId="35" numFmtId="0" xfId="0" applyAlignment="1" applyBorder="1" applyFont="1">
      <alignment horizontal="center" readingOrder="0" shrinkToFit="0" vertical="center" wrapText="1"/>
    </xf>
    <xf borderId="11" fillId="0" fontId="32" numFmtId="0" xfId="0" applyAlignment="1" applyBorder="1" applyFont="1">
      <alignment horizontal="center" readingOrder="0" shrinkToFit="0" vertical="center" wrapText="1"/>
    </xf>
    <xf borderId="0" fillId="7" fontId="3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hi3.cc/WE0v5" TargetMode="External"/><Relationship Id="rId42" Type="http://schemas.openxmlformats.org/officeDocument/2006/relationships/hyperlink" Target="https://drive.google.com/file/d/13hg5sdc-j1QqmjjPvmicuZfpUILicigs/view?usp=sharing" TargetMode="External"/><Relationship Id="rId41" Type="http://schemas.openxmlformats.org/officeDocument/2006/relationships/hyperlink" Target="https://g0v.hackmd.io/@summit2024/book" TargetMode="External"/><Relationship Id="rId44" Type="http://schemas.openxmlformats.org/officeDocument/2006/relationships/hyperlink" Target="https://g0v.hackmd.io/UkmNKU9AQKC1uDgVddEu-g?view" TargetMode="External"/><Relationship Id="rId43" Type="http://schemas.openxmlformats.org/officeDocument/2006/relationships/hyperlink" Target="https://www.figma.com/file/GyTPa3fixfTO4OkLA90Wba/summit-2024" TargetMode="External"/><Relationship Id="rId46" Type="http://schemas.openxmlformats.org/officeDocument/2006/relationships/hyperlink" Target="https://docs.google.com/presentation/d/17UZOjEWXwNjMWzsyd4H4__Tx4DQWfnffxaTzF_GBoek/edit?usp=sharing" TargetMode="External"/><Relationship Id="rId45" Type="http://schemas.openxmlformats.org/officeDocument/2006/relationships/hyperlink" Target="https://g0v.hackmd.io/@ddio-io/open-csr-report/https%3A%2F%2Fg0v.hackmd.io%2FvQjhtpASQlygIIetTVAfUQ" TargetMode="External"/><Relationship Id="rId1" Type="http://schemas.openxmlformats.org/officeDocument/2006/relationships/hyperlink" Target="https://docs.google.com/presentation/d/1aM-HvU2sP_3JxL7x5YEy0DOIGais2KOk/edit?usp=sharing&amp;ouid=117117540953571876315&amp;rtpof=true&amp;sd=true" TargetMode="External"/><Relationship Id="rId2" Type="http://schemas.openxmlformats.org/officeDocument/2006/relationships/hyperlink" Target="https://g0v.hackmd.io/@ddio-io/open-csr-report/https%3A%2F%2Fg0v.hackmd.io%2FvQjhtpASQlygIIetTVAfUQ" TargetMode="External"/><Relationship Id="rId3" Type="http://schemas.openxmlformats.org/officeDocument/2006/relationships/hyperlink" Target="https://docs.google.com/presentation/d/17UZOjEWXwNjMWzsyd4H4__Tx4DQWfnffxaTzF_GBoek/edit?usp=sharing" TargetMode="External"/><Relationship Id="rId4" Type="http://schemas.openxmlformats.org/officeDocument/2006/relationships/hyperlink" Target="https://gcaa-org-tw.github.io/company-report-toolkit/" TargetMode="External"/><Relationship Id="rId9" Type="http://schemas.openxmlformats.org/officeDocument/2006/relationships/hyperlink" Target="https://docs.google.com/presentation/d/1EYCQQ6KawurbEEAyQDFBBscouPxSA67qh9NjVHGw2wg/edit?usp=sharing" TargetMode="External"/><Relationship Id="rId48" Type="http://schemas.openxmlformats.org/officeDocument/2006/relationships/hyperlink" Target="https://docs.google.com/presentation/d/1m78jkXtli04FLIDWujiv2KPJPzWC3CWbrIIZPzMOJsY/edit?usp=sharing" TargetMode="External"/><Relationship Id="rId47" Type="http://schemas.openxmlformats.org/officeDocument/2006/relationships/hyperlink" Target="https://g0v.hackmd.io/@Pno233SAS8G5UfL5OvSRmA/H12k3-Oqn" TargetMode="External"/><Relationship Id="rId49" Type="http://schemas.openxmlformats.org/officeDocument/2006/relationships/hyperlink" Target="https://g0v.hackmd.io/@summit2024/book" TargetMode="External"/><Relationship Id="rId5" Type="http://schemas.openxmlformats.org/officeDocument/2006/relationships/hyperlink" Target="https://g0v.hackmd.io/OpkxG9b_TZ2klz9p5mswKA" TargetMode="External"/><Relationship Id="rId6" Type="http://schemas.openxmlformats.org/officeDocument/2006/relationships/hyperlink" Target="https://docs.google.com/presentation/d/1HDAzdcQ9iSkrPAx1ULOAmUHUJWlgmNXB9v54P2LOG0M/edit?usp=sharing" TargetMode="External"/><Relationship Id="rId7" Type="http://schemas.openxmlformats.org/officeDocument/2006/relationships/hyperlink" Target="https://docs.google.com/presentation/d/1Z8sGb8MEhTbjvGZpZssd8i9d36YiRUioWyj-ynoQhuk/edit?usp=sharing" TargetMode="External"/><Relationship Id="rId8" Type="http://schemas.openxmlformats.org/officeDocument/2006/relationships/hyperlink" Target="https://hackmd.io/@cyh2/H1yrFG8hn/edit" TargetMode="External"/><Relationship Id="rId31" Type="http://schemas.openxmlformats.org/officeDocument/2006/relationships/hyperlink" Target="https://hackmd.io/@Angie/2024idechybrid/edit" TargetMode="External"/><Relationship Id="rId30" Type="http://schemas.openxmlformats.org/officeDocument/2006/relationships/hyperlink" Target="https://hackmd.io/gBL8KHmuQ6Gvm1sQmudDZw?both" TargetMode="External"/><Relationship Id="rId33" Type="http://schemas.openxmlformats.org/officeDocument/2006/relationships/hyperlink" Target="https://g0v.hackmd.io/0r8-UYTHRCmp33nt59ogww" TargetMode="External"/><Relationship Id="rId32" Type="http://schemas.openxmlformats.org/officeDocument/2006/relationships/hyperlink" Target="https://docs.google.com/presentation/d/1qr950b5F-ZsAVdTE_lTLeHZcuf6BBVzv5ig7B6-wCck/edit?usp=sharing" TargetMode="External"/><Relationship Id="rId35" Type="http://schemas.openxmlformats.org/officeDocument/2006/relationships/hyperlink" Target="https://www.figma.com/proto/ylvyTJZ5T3bMet4Jd6smV1/Experience-NTU-Design-System?page-id=91%3A252&amp;type=design&amp;node-id=91-253&amp;viewport=148%2C279%2C0.04&amp;t=yeSugob6Nn9dYKxC-1&amp;scaling=contain&amp;mode=design" TargetMode="External"/><Relationship Id="rId34" Type="http://schemas.openxmlformats.org/officeDocument/2006/relationships/hyperlink" Target="https://docs.google.com/presentation/d/1qENygOh17FvZyCswfEGskSZ21qKlTdkWTgLL3aN7RjI/edit" TargetMode="External"/><Relationship Id="rId37" Type="http://schemas.openxmlformats.org/officeDocument/2006/relationships/hyperlink" Target="https://g0v.hackmd.io/@Pno233SAS8G5UfL5OvSRmA/HkVfA6Ba2" TargetMode="External"/><Relationship Id="rId36" Type="http://schemas.openxmlformats.org/officeDocument/2006/relationships/hyperlink" Target="https://docs.google.com/presentation/d/1Dknup0Kzd2vE3Apx7TD4lfimwGkKkW6vVAbxZTVpBas/edit" TargetMode="External"/><Relationship Id="rId39" Type="http://schemas.openxmlformats.org/officeDocument/2006/relationships/hyperlink" Target="https://hackmd.io/@twbbs/20230716_PTT_APP_ReleaseNotes" TargetMode="External"/><Relationship Id="rId38" Type="http://schemas.openxmlformats.org/officeDocument/2006/relationships/hyperlink" Target="https://docs.google.com/presentation/d/1Qn9pa7I8Ks1nDFstN1IEuFF0WyiAIVCzjNV8Fe6OTJs/edit?usp=sharing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g0v.hackmd.io/@jothon/Sch001courses/%2F_qZzPfkmTFih6eQE7lCS6g" TargetMode="External"/><Relationship Id="rId20" Type="http://schemas.openxmlformats.org/officeDocument/2006/relationships/hyperlink" Target="https://g0v.hackmd.io/@Pno233SAS8G5UfL5OvSRmA/H12k3-Oqn" TargetMode="External"/><Relationship Id="rId22" Type="http://schemas.openxmlformats.org/officeDocument/2006/relationships/hyperlink" Target="https://g0v.hackmd.io/@summit2024/book" TargetMode="External"/><Relationship Id="rId21" Type="http://schemas.openxmlformats.org/officeDocument/2006/relationships/hyperlink" Target="https://docs.google.com/presentation/d/1m78jkXtli04FLIDWujiv2KPJPzWC3CWbrIIZPzMOJsY/edit?usp=sharing" TargetMode="External"/><Relationship Id="rId24" Type="http://schemas.openxmlformats.org/officeDocument/2006/relationships/hyperlink" Target="https://g0v.hackmd.io/@jothon/B1W8Zewph" TargetMode="External"/><Relationship Id="rId23" Type="http://schemas.openxmlformats.org/officeDocument/2006/relationships/hyperlink" Target="https://docs.google.com/presentation/d/1QZxDR1fKWGYguBr_lyh_sYgGfLgTTod2gIPdeFf0uLY/edit?usp=sharing" TargetMode="External"/><Relationship Id="rId60" Type="http://schemas.openxmlformats.org/officeDocument/2006/relationships/hyperlink" Target="https://g0v.hackmd.io/@jothon/Sch001courses/%2F_qZzPfkmTFih6eQE7lCS6g" TargetMode="External"/><Relationship Id="rId26" Type="http://schemas.openxmlformats.org/officeDocument/2006/relationships/hyperlink" Target="https://g0v.hackmd.io/@chewei/gis/https%3A%2F%2Fg0v.hackmd.io%2F%40chewei%2Fguandu%2F" TargetMode="External"/><Relationship Id="rId25" Type="http://schemas.openxmlformats.org/officeDocument/2006/relationships/hyperlink" Target="https://docs.google.com/presentation/d/1VH3Z7WtXNSvVDjKMmPMJHkGFpuXQ8D4bNC1XHWE1slw/edit?usp=sharing" TargetMode="External"/><Relationship Id="rId28" Type="http://schemas.openxmlformats.org/officeDocument/2006/relationships/hyperlink" Target="https://cofacts.tw/hack" TargetMode="External"/><Relationship Id="rId27" Type="http://schemas.openxmlformats.org/officeDocument/2006/relationships/hyperlink" Target="https://sites.google.com/view/yuanlitown/%E9%A6%96%E9%A0%81" TargetMode="External"/><Relationship Id="rId29" Type="http://schemas.openxmlformats.org/officeDocument/2006/relationships/hyperlink" Target="https://docs.google.com/presentation/d/1KEosMzwvOU1fHtBLoMe_X7d-weecTJ_S213g9f7Cr3c/edit" TargetMode="External"/><Relationship Id="rId51" Type="http://schemas.openxmlformats.org/officeDocument/2006/relationships/hyperlink" Target="https://g0v.hackmd.io/Byh1FXqLRyOeXgnrR4NEgw?both" TargetMode="External"/><Relationship Id="rId50" Type="http://schemas.openxmlformats.org/officeDocument/2006/relationships/hyperlink" Target="https://docs.google.com/presentation/d/1QZxDR1fKWGYguBr_lyh_sYgGfLgTTod2gIPdeFf0uLY/edit?usp=sharing" TargetMode="External"/><Relationship Id="rId53" Type="http://schemas.openxmlformats.org/officeDocument/2006/relationships/hyperlink" Target="http://jointw.plus/" TargetMode="External"/><Relationship Id="rId52" Type="http://schemas.openxmlformats.org/officeDocument/2006/relationships/hyperlink" Target="https://docs.google.com/document/d/1xeira2QFQ-Ka6XQH508PI_O_iAMJlW4GUZI9C_Z7fw8/edit" TargetMode="External"/><Relationship Id="rId11" Type="http://schemas.openxmlformats.org/officeDocument/2006/relationships/hyperlink" Target="https://plaza.jointw.plus/" TargetMode="External"/><Relationship Id="rId55" Type="http://schemas.openxmlformats.org/officeDocument/2006/relationships/hyperlink" Target="https://www.facebook.com/groups/295496753001414" TargetMode="External"/><Relationship Id="rId10" Type="http://schemas.openxmlformats.org/officeDocument/2006/relationships/hyperlink" Target="http://jointw.plus/" TargetMode="External"/><Relationship Id="rId54" Type="http://schemas.openxmlformats.org/officeDocument/2006/relationships/hyperlink" Target="https://plaza.jointw.plus/" TargetMode="External"/><Relationship Id="rId13" Type="http://schemas.openxmlformats.org/officeDocument/2006/relationships/hyperlink" Target="https://g0v.hackmd.io/yZd5nmZWRLqQ2R2kqvcNqg?edit" TargetMode="External"/><Relationship Id="rId57" Type="http://schemas.openxmlformats.org/officeDocument/2006/relationships/hyperlink" Target="https://hackmd.io/@moztw/pronoun_stickers" TargetMode="External"/><Relationship Id="rId12" Type="http://schemas.openxmlformats.org/officeDocument/2006/relationships/hyperlink" Target="https://www.facebook.com/groups/295496753001414" TargetMode="External"/><Relationship Id="rId56" Type="http://schemas.openxmlformats.org/officeDocument/2006/relationships/hyperlink" Target="http://www.hackyourdistrict.com/" TargetMode="External"/><Relationship Id="rId15" Type="http://schemas.openxmlformats.org/officeDocument/2006/relationships/hyperlink" Target="https://g0v.hackmd.io/@jothon/Sch001courses/%2F_qZzPfkmTFih6eQE7lCS6g" TargetMode="External"/><Relationship Id="rId59" Type="http://schemas.openxmlformats.org/officeDocument/2006/relationships/hyperlink" Target="https://docs.google.com/presentation/d/1KEosMzwvOU1fHtBLoMe_X7d-weecTJ_S213g9f7Cr3c/edit" TargetMode="External"/><Relationship Id="rId14" Type="http://schemas.openxmlformats.org/officeDocument/2006/relationships/hyperlink" Target="https://g0v.hackmd.io/@yz6FVjJVT4OiPCB8Xcz9Fw/S1aafNIa3" TargetMode="External"/><Relationship Id="rId58" Type="http://schemas.openxmlformats.org/officeDocument/2006/relationships/hyperlink" Target="https://g0v.hackmd.io/uO2pc1SlQCqtK7WZBknBZw?view" TargetMode="External"/><Relationship Id="rId17" Type="http://schemas.openxmlformats.org/officeDocument/2006/relationships/hyperlink" Target="https://docs.google.com/presentation/d/18-ND2sDjtm-wF_09rRtqgc_sn0r78MptXpZMNag7LTY/edit?usp=sharing" TargetMode="External"/><Relationship Id="rId16" Type="http://schemas.openxmlformats.org/officeDocument/2006/relationships/hyperlink" Target="https://docs.google.com/presentation/d/1uKFWy9fmjBf0pC5BkVgFJHX-ZoYhZdplXo53wN9XH4I/edit?usp=sharing" TargetMode="External"/><Relationship Id="rId19" Type="http://schemas.openxmlformats.org/officeDocument/2006/relationships/hyperlink" Target="https://github.com/yanyiyi/TCMB_ApplyCollect" TargetMode="External"/><Relationship Id="rId18" Type="http://schemas.openxmlformats.org/officeDocument/2006/relationships/hyperlink" Target="https://g0v.hackmd.io/prvzo96zSlu8P1IXmzu-6Q?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5.0"/>
    <col customWidth="1" min="2" max="2" width="9.5"/>
    <col customWidth="1" min="3" max="3" width="3.75"/>
    <col customWidth="1" min="4" max="4" width="12.13"/>
    <col customWidth="1" min="5" max="5" width="9.75"/>
    <col customWidth="1" min="6" max="6" width="6.13"/>
    <col customWidth="1" min="7" max="7" width="13.25"/>
    <col customWidth="1" min="8" max="8" width="28.13"/>
    <col customWidth="1" min="9" max="9" width="12.0"/>
    <col customWidth="1" min="10" max="10" width="23.25"/>
    <col customWidth="1" min="11" max="11" width="28.38"/>
    <col customWidth="1" min="12" max="12" width="17.5"/>
    <col customWidth="1" min="13" max="13" width="21.0"/>
    <col customWidth="1" min="14" max="15" width="22.5"/>
    <col customWidth="1" min="16" max="16" width="15.5"/>
    <col customWidth="1" min="17" max="19" width="18.13"/>
  </cols>
  <sheetData>
    <row r="1" ht="23.25" hidden="1" customHeight="1">
      <c r="A1" s="1"/>
      <c r="O1" s="1"/>
      <c r="P1" s="2"/>
      <c r="Q1" s="2"/>
      <c r="R1" s="2"/>
      <c r="S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6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7" t="s">
        <v>16</v>
      </c>
      <c r="R2" s="4" t="s">
        <v>17</v>
      </c>
      <c r="S2" s="4"/>
    </row>
    <row r="3" ht="15.0" customHeight="1">
      <c r="A3" s="8" t="s">
        <v>18</v>
      </c>
      <c r="R3" s="8"/>
      <c r="S3" s="8"/>
    </row>
    <row r="4" ht="15.0" customHeight="1">
      <c r="A4" s="9" t="s">
        <v>19</v>
      </c>
      <c r="O4" s="9"/>
      <c r="P4" s="9"/>
      <c r="Q4" s="9"/>
      <c r="R4" s="10"/>
      <c r="S4" s="9"/>
    </row>
    <row r="5" ht="37.5" customHeight="1">
      <c r="A5" s="11" t="s">
        <v>20</v>
      </c>
      <c r="S5" s="12"/>
    </row>
    <row r="6" ht="22.5" customHeight="1">
      <c r="A6" s="13">
        <v>1.0</v>
      </c>
      <c r="B6" s="14">
        <v>0.4027777777777778</v>
      </c>
      <c r="C6" s="15"/>
      <c r="D6" s="16" t="s">
        <v>21</v>
      </c>
      <c r="E6" s="16" t="s">
        <v>22</v>
      </c>
      <c r="F6" s="17" t="s">
        <v>23</v>
      </c>
      <c r="G6" s="16" t="s">
        <v>24</v>
      </c>
      <c r="H6" s="16" t="s">
        <v>25</v>
      </c>
      <c r="I6" s="16" t="s">
        <v>26</v>
      </c>
      <c r="J6" s="18" t="s">
        <v>27</v>
      </c>
      <c r="K6" s="19" t="s">
        <v>28</v>
      </c>
      <c r="L6" s="20" t="s">
        <v>23</v>
      </c>
      <c r="M6" s="16" t="s">
        <v>29</v>
      </c>
      <c r="N6" s="16" t="s">
        <v>30</v>
      </c>
      <c r="O6" s="16" t="s">
        <v>31</v>
      </c>
      <c r="P6" s="16"/>
      <c r="Q6" s="21"/>
      <c r="R6" s="22" t="str">
        <f>"g0v tw hackathXXn — 提案 — "&amp;G6&amp;" ／ "&amp;D6&amp;" — XXX黑客松"</f>
        <v>g0v tw hackathXXn — 提案 — g0v Design ／ tofus — XXX黑客松</v>
      </c>
      <c r="S6" s="22"/>
    </row>
    <row r="7" ht="48.75" customHeight="1">
      <c r="A7" s="13">
        <v>2.0</v>
      </c>
      <c r="B7" s="14">
        <v>0.4048611111111111</v>
      </c>
      <c r="C7" s="15"/>
      <c r="D7" s="16" t="s">
        <v>32</v>
      </c>
      <c r="E7" s="16" t="s">
        <v>33</v>
      </c>
      <c r="F7" s="17" t="s">
        <v>23</v>
      </c>
      <c r="G7" s="16" t="s">
        <v>34</v>
      </c>
      <c r="H7" s="16" t="s">
        <v>35</v>
      </c>
      <c r="I7" s="16" t="s">
        <v>36</v>
      </c>
      <c r="J7" s="19" t="s">
        <v>37</v>
      </c>
      <c r="K7" s="23" t="s">
        <v>38</v>
      </c>
      <c r="L7" s="24" t="s">
        <v>23</v>
      </c>
      <c r="M7" s="13" t="s">
        <v>39</v>
      </c>
      <c r="N7" s="16" t="s">
        <v>40</v>
      </c>
      <c r="O7" s="16" t="s">
        <v>41</v>
      </c>
      <c r="R7" s="25"/>
      <c r="S7" s="19" t="s">
        <v>42</v>
      </c>
    </row>
    <row r="8" ht="15.0" customHeight="1">
      <c r="A8" s="13">
        <v>3.0</v>
      </c>
      <c r="B8" s="14">
        <v>0.40694444444444444</v>
      </c>
      <c r="C8" s="15"/>
      <c r="D8" s="16" t="s">
        <v>43</v>
      </c>
      <c r="E8" s="16" t="s">
        <v>33</v>
      </c>
      <c r="F8" s="17" t="s">
        <v>23</v>
      </c>
      <c r="G8" s="16" t="s">
        <v>44</v>
      </c>
      <c r="H8" s="16" t="s">
        <v>45</v>
      </c>
      <c r="I8" s="16" t="s">
        <v>46</v>
      </c>
      <c r="J8" s="26" t="s">
        <v>47</v>
      </c>
      <c r="K8" s="19" t="s">
        <v>48</v>
      </c>
      <c r="L8" s="20" t="s">
        <v>23</v>
      </c>
      <c r="M8" s="27" t="s">
        <v>49</v>
      </c>
      <c r="N8" s="16" t="s">
        <v>50</v>
      </c>
      <c r="O8" s="16" t="s">
        <v>51</v>
      </c>
      <c r="P8" s="16"/>
      <c r="Q8" s="21"/>
      <c r="R8" s="21"/>
      <c r="S8" s="21"/>
    </row>
    <row r="9" ht="15.0" customHeight="1">
      <c r="A9" s="13">
        <v>4.0</v>
      </c>
      <c r="B9" s="14">
        <v>0.40902777777777777</v>
      </c>
      <c r="C9" s="15"/>
      <c r="D9" s="16" t="s">
        <v>52</v>
      </c>
      <c r="E9" s="16" t="s">
        <v>33</v>
      </c>
      <c r="F9" s="17" t="s">
        <v>23</v>
      </c>
      <c r="G9" s="18" t="s">
        <v>53</v>
      </c>
      <c r="H9" s="18" t="s">
        <v>54</v>
      </c>
      <c r="I9" s="16" t="s">
        <v>26</v>
      </c>
      <c r="J9" s="28"/>
      <c r="K9" s="19" t="s">
        <v>55</v>
      </c>
      <c r="L9" s="20" t="s">
        <v>23</v>
      </c>
      <c r="M9" s="29" t="s">
        <v>56</v>
      </c>
      <c r="N9" s="29" t="s">
        <v>57</v>
      </c>
      <c r="O9" s="29" t="s">
        <v>58</v>
      </c>
    </row>
    <row r="10" ht="15.0" customHeight="1">
      <c r="A10" s="13">
        <v>5.0</v>
      </c>
      <c r="B10" s="14">
        <v>0.4111111111111111</v>
      </c>
      <c r="C10" s="15"/>
      <c r="D10" s="16" t="s">
        <v>59</v>
      </c>
      <c r="E10" s="16" t="s">
        <v>33</v>
      </c>
      <c r="F10" s="17" t="s">
        <v>23</v>
      </c>
      <c r="G10" s="16" t="s">
        <v>60</v>
      </c>
      <c r="H10" s="16" t="s">
        <v>61</v>
      </c>
      <c r="I10" s="16" t="s">
        <v>62</v>
      </c>
      <c r="J10" s="19" t="s">
        <v>63</v>
      </c>
      <c r="K10" s="19" t="s">
        <v>64</v>
      </c>
      <c r="L10" s="20" t="s">
        <v>23</v>
      </c>
      <c r="M10" s="16" t="s">
        <v>65</v>
      </c>
      <c r="N10" s="16" t="s">
        <v>66</v>
      </c>
      <c r="O10" s="16" t="s">
        <v>67</v>
      </c>
      <c r="P10" s="16"/>
      <c r="Q10" s="21"/>
      <c r="R10" s="21"/>
      <c r="S10" s="21"/>
    </row>
    <row r="11" ht="15.0" customHeight="1">
      <c r="A11" s="13">
        <v>6.0</v>
      </c>
      <c r="B11" s="14">
        <v>0.4131944444444444</v>
      </c>
      <c r="C11" s="15"/>
      <c r="D11" s="16" t="s">
        <v>68</v>
      </c>
      <c r="E11" s="16" t="s">
        <v>33</v>
      </c>
      <c r="F11" s="17" t="s">
        <v>23</v>
      </c>
      <c r="G11" s="16" t="s">
        <v>69</v>
      </c>
      <c r="H11" s="16" t="s">
        <v>70</v>
      </c>
      <c r="I11" s="16" t="s">
        <v>71</v>
      </c>
      <c r="J11" s="19" t="s">
        <v>72</v>
      </c>
      <c r="K11" s="19" t="s">
        <v>73</v>
      </c>
      <c r="L11" s="20" t="s">
        <v>74</v>
      </c>
      <c r="M11" s="30" t="s">
        <v>75</v>
      </c>
      <c r="N11" s="16" t="s">
        <v>76</v>
      </c>
      <c r="O11" s="19" t="s">
        <v>77</v>
      </c>
      <c r="P11" s="16"/>
      <c r="Q11" s="21"/>
      <c r="R11" s="21"/>
      <c r="S11" s="21"/>
    </row>
    <row r="12" ht="27.0" customHeight="1">
      <c r="A12" s="13">
        <v>7.0</v>
      </c>
      <c r="B12" s="14">
        <v>0.4152777777777778</v>
      </c>
      <c r="C12" s="15"/>
      <c r="D12" s="31" t="s">
        <v>78</v>
      </c>
      <c r="E12" s="31" t="s">
        <v>33</v>
      </c>
      <c r="F12" s="32" t="s">
        <v>23</v>
      </c>
      <c r="G12" s="31" t="s">
        <v>79</v>
      </c>
      <c r="H12" s="33" t="s">
        <v>80</v>
      </c>
      <c r="I12" s="34" t="s">
        <v>81</v>
      </c>
      <c r="J12" s="35" t="s">
        <v>82</v>
      </c>
      <c r="K12" s="36" t="s">
        <v>83</v>
      </c>
      <c r="L12" s="20" t="s">
        <v>84</v>
      </c>
      <c r="M12" s="37" t="s">
        <v>85</v>
      </c>
      <c r="N12" s="38" t="s">
        <v>86</v>
      </c>
      <c r="O12" s="39" t="s">
        <v>87</v>
      </c>
      <c r="P12" s="16"/>
      <c r="Q12" s="21"/>
      <c r="R12" s="21"/>
      <c r="S12" s="21"/>
    </row>
    <row r="13" ht="15.0" customHeight="1">
      <c r="A13" s="13">
        <v>8.0</v>
      </c>
      <c r="B13" s="14">
        <v>0.4173611111111111</v>
      </c>
      <c r="C13" s="15"/>
      <c r="D13" s="16" t="s">
        <v>88</v>
      </c>
      <c r="E13" s="16" t="s">
        <v>33</v>
      </c>
      <c r="F13" s="17" t="s">
        <v>23</v>
      </c>
      <c r="G13" s="16" t="s">
        <v>89</v>
      </c>
      <c r="H13" s="16" t="s">
        <v>90</v>
      </c>
      <c r="I13" s="16" t="s">
        <v>91</v>
      </c>
      <c r="J13" s="40" t="s">
        <v>92</v>
      </c>
      <c r="K13" s="40" t="s">
        <v>93</v>
      </c>
      <c r="L13" s="41" t="s">
        <v>23</v>
      </c>
      <c r="M13" s="29" t="s">
        <v>94</v>
      </c>
      <c r="N13" s="29" t="s">
        <v>95</v>
      </c>
      <c r="O13" s="29" t="s">
        <v>96</v>
      </c>
      <c r="P13" s="16"/>
      <c r="Q13" s="21"/>
      <c r="R13" s="21"/>
      <c r="S13" s="21"/>
    </row>
    <row r="14" ht="15.0" customHeight="1">
      <c r="A14" s="13">
        <v>9.0</v>
      </c>
      <c r="B14" s="14">
        <v>0.41944444444444445</v>
      </c>
      <c r="C14" s="15"/>
      <c r="D14" s="16" t="s">
        <v>97</v>
      </c>
      <c r="E14" s="16" t="s">
        <v>33</v>
      </c>
      <c r="F14" s="17" t="s">
        <v>23</v>
      </c>
      <c r="G14" s="16" t="s">
        <v>98</v>
      </c>
      <c r="H14" s="16" t="s">
        <v>99</v>
      </c>
      <c r="I14" s="29" t="s">
        <v>100</v>
      </c>
      <c r="J14" s="16"/>
      <c r="K14" s="19" t="s">
        <v>101</v>
      </c>
      <c r="L14" s="20" t="s">
        <v>23</v>
      </c>
      <c r="M14" s="16" t="s">
        <v>102</v>
      </c>
      <c r="N14" s="16" t="s">
        <v>103</v>
      </c>
      <c r="O14" s="16" t="s">
        <v>104</v>
      </c>
      <c r="P14" s="16"/>
      <c r="Q14" s="21"/>
      <c r="R14" s="21"/>
      <c r="S14" s="21"/>
    </row>
    <row r="15" ht="15.0" customHeight="1">
      <c r="A15" s="13">
        <v>10.0</v>
      </c>
      <c r="B15" s="14">
        <v>0.4215277777777778</v>
      </c>
      <c r="C15" s="15"/>
      <c r="D15" s="16" t="s">
        <v>105</v>
      </c>
      <c r="E15" s="16" t="s">
        <v>33</v>
      </c>
      <c r="F15" s="17" t="s">
        <v>23</v>
      </c>
      <c r="G15" s="16" t="s">
        <v>106</v>
      </c>
      <c r="H15" s="16" t="s">
        <v>107</v>
      </c>
      <c r="I15" s="16" t="s">
        <v>108</v>
      </c>
      <c r="J15" s="42" t="s">
        <v>109</v>
      </c>
      <c r="K15" s="23" t="s">
        <v>110</v>
      </c>
      <c r="L15" s="41" t="s">
        <v>23</v>
      </c>
      <c r="M15" s="29" t="s">
        <v>111</v>
      </c>
      <c r="N15" s="29" t="s">
        <v>112</v>
      </c>
      <c r="O15" s="29" t="s">
        <v>113</v>
      </c>
      <c r="P15" s="16"/>
    </row>
    <row r="16" ht="15.0" customHeight="1">
      <c r="A16" s="13">
        <v>11.0</v>
      </c>
      <c r="B16" s="14">
        <v>0.4236111111111111</v>
      </c>
      <c r="C16" s="15"/>
      <c r="D16" s="13" t="s">
        <v>114</v>
      </c>
      <c r="E16" s="16" t="s">
        <v>33</v>
      </c>
      <c r="F16" s="17" t="s">
        <v>23</v>
      </c>
      <c r="G16" s="16" t="s">
        <v>115</v>
      </c>
      <c r="H16" s="16" t="s">
        <v>116</v>
      </c>
      <c r="I16" s="16" t="s">
        <v>26</v>
      </c>
      <c r="J16" s="42" t="s">
        <v>117</v>
      </c>
      <c r="K16" s="26" t="s">
        <v>118</v>
      </c>
      <c r="L16" s="20" t="s">
        <v>23</v>
      </c>
      <c r="M16" s="43" t="s">
        <v>119</v>
      </c>
      <c r="N16" s="16" t="s">
        <v>120</v>
      </c>
      <c r="O16" s="43" t="s">
        <v>121</v>
      </c>
      <c r="P16" s="16"/>
      <c r="Q16" s="21"/>
      <c r="R16" s="21"/>
      <c r="S16" s="21"/>
    </row>
    <row r="17" ht="15.0" customHeight="1">
      <c r="A17" s="13">
        <v>12.0</v>
      </c>
      <c r="B17" s="14">
        <v>0.42569444444444443</v>
      </c>
      <c r="C17" s="15"/>
      <c r="D17" s="13" t="s">
        <v>122</v>
      </c>
      <c r="E17" s="16" t="s">
        <v>33</v>
      </c>
      <c r="F17" s="17" t="s">
        <v>23</v>
      </c>
      <c r="G17" s="44" t="s">
        <v>123</v>
      </c>
      <c r="H17" s="44" t="s">
        <v>124</v>
      </c>
      <c r="I17" s="16" t="s">
        <v>26</v>
      </c>
      <c r="J17" s="45" t="s">
        <v>125</v>
      </c>
      <c r="K17" s="26" t="s">
        <v>126</v>
      </c>
      <c r="L17" s="20" t="s">
        <v>23</v>
      </c>
      <c r="M17" s="16" t="s">
        <v>127</v>
      </c>
      <c r="N17" s="16" t="s">
        <v>128</v>
      </c>
      <c r="O17" s="16" t="s">
        <v>129</v>
      </c>
      <c r="P17" s="16"/>
      <c r="Q17" s="21"/>
      <c r="R17" s="21"/>
      <c r="S17" s="21"/>
    </row>
    <row r="18" ht="15.0" customHeight="1">
      <c r="A18" s="13">
        <v>13.0</v>
      </c>
      <c r="B18" s="14">
        <v>0.42777777777777776</v>
      </c>
      <c r="C18" s="15"/>
      <c r="D18" s="46" t="s">
        <v>130</v>
      </c>
      <c r="E18" s="16" t="s">
        <v>33</v>
      </c>
      <c r="F18" s="47" t="s">
        <v>23</v>
      </c>
      <c r="G18" s="48" t="s">
        <v>131</v>
      </c>
      <c r="H18" s="48" t="s">
        <v>132</v>
      </c>
      <c r="I18" s="16" t="s">
        <v>26</v>
      </c>
      <c r="J18" s="42" t="s">
        <v>133</v>
      </c>
      <c r="K18" s="49" t="s">
        <v>134</v>
      </c>
      <c r="L18" s="20" t="s">
        <v>135</v>
      </c>
      <c r="M18" s="16" t="s">
        <v>136</v>
      </c>
      <c r="N18" s="16" t="s">
        <v>137</v>
      </c>
      <c r="O18" s="16" t="s">
        <v>138</v>
      </c>
      <c r="P18" s="16"/>
      <c r="Q18" s="21"/>
      <c r="R18" s="21"/>
      <c r="S18" s="21"/>
    </row>
    <row r="19" ht="15.0" customHeight="1">
      <c r="A19" s="13">
        <v>14.0</v>
      </c>
      <c r="B19" s="14">
        <v>0.42986111111111114</v>
      </c>
      <c r="C19" s="15"/>
      <c r="D19" s="16" t="s">
        <v>139</v>
      </c>
      <c r="E19" s="16" t="s">
        <v>33</v>
      </c>
      <c r="F19" s="17" t="s">
        <v>23</v>
      </c>
      <c r="G19" s="16" t="s">
        <v>140</v>
      </c>
      <c r="H19" s="16" t="s">
        <v>141</v>
      </c>
      <c r="I19" s="16" t="s">
        <v>26</v>
      </c>
      <c r="J19" s="19" t="s">
        <v>142</v>
      </c>
      <c r="K19" s="19" t="s">
        <v>143</v>
      </c>
      <c r="L19" s="20" t="s">
        <v>74</v>
      </c>
      <c r="M19" s="16" t="s">
        <v>144</v>
      </c>
      <c r="N19" s="16" t="s">
        <v>145</v>
      </c>
      <c r="O19" s="16" t="s">
        <v>146</v>
      </c>
      <c r="P19" s="16"/>
      <c r="Q19" s="21"/>
      <c r="R19" s="21"/>
      <c r="S19" s="21"/>
    </row>
    <row r="20" ht="15.0" customHeight="1">
      <c r="A20" s="13">
        <v>15.0</v>
      </c>
      <c r="B20" s="14">
        <v>0.43194444444444446</v>
      </c>
      <c r="C20" s="15"/>
      <c r="D20" s="16" t="s">
        <v>147</v>
      </c>
      <c r="E20" s="16" t="s">
        <v>33</v>
      </c>
      <c r="F20" s="17" t="s">
        <v>23</v>
      </c>
      <c r="G20" s="16" t="s">
        <v>148</v>
      </c>
      <c r="H20" s="50" t="s">
        <v>149</v>
      </c>
      <c r="I20" s="51" t="s">
        <v>150</v>
      </c>
      <c r="J20" s="52" t="s">
        <v>151</v>
      </c>
      <c r="K20" s="53" t="s">
        <v>152</v>
      </c>
      <c r="L20" s="54" t="s">
        <v>23</v>
      </c>
      <c r="M20" s="55" t="s">
        <v>153</v>
      </c>
      <c r="N20" s="55" t="s">
        <v>154</v>
      </c>
      <c r="O20" s="55" t="s">
        <v>155</v>
      </c>
      <c r="P20" s="16"/>
      <c r="Q20" s="21"/>
      <c r="R20" s="21"/>
      <c r="S20" s="21"/>
    </row>
    <row r="21" ht="15.0" customHeight="1">
      <c r="A21" s="16"/>
      <c r="B21" s="15"/>
      <c r="C21" s="15"/>
      <c r="D21" s="56" t="s">
        <v>156</v>
      </c>
      <c r="E21" s="16"/>
      <c r="F21" s="17"/>
      <c r="G21" s="16" t="s">
        <v>157</v>
      </c>
      <c r="I21" s="16"/>
      <c r="J21" s="16"/>
      <c r="K21" s="16"/>
      <c r="L21" s="57"/>
      <c r="M21" s="16"/>
      <c r="N21" s="16"/>
      <c r="O21" s="16"/>
      <c r="P21" s="16"/>
      <c r="Q21" s="21"/>
      <c r="R21" s="21"/>
      <c r="S21" s="21"/>
    </row>
    <row r="22" ht="30.75" customHeight="1">
      <c r="A22" s="58" t="s">
        <v>158</v>
      </c>
      <c r="S22" s="59"/>
    </row>
    <row r="23" ht="15.0" customHeight="1">
      <c r="A23" s="15" t="s">
        <v>159</v>
      </c>
      <c r="B23" s="14">
        <v>0.4340277777777778</v>
      </c>
      <c r="C23" s="15"/>
      <c r="D23" s="16" t="s">
        <v>160</v>
      </c>
      <c r="E23" s="16" t="s">
        <v>33</v>
      </c>
      <c r="F23" s="17" t="s">
        <v>23</v>
      </c>
      <c r="G23" s="16" t="s">
        <v>161</v>
      </c>
      <c r="H23" s="60" t="s">
        <v>162</v>
      </c>
      <c r="I23" s="16" t="s">
        <v>81</v>
      </c>
      <c r="J23" s="19" t="s">
        <v>163</v>
      </c>
      <c r="K23" s="16"/>
      <c r="L23" s="57"/>
      <c r="M23" s="16" t="s">
        <v>161</v>
      </c>
      <c r="O23" s="61"/>
      <c r="P23" s="16"/>
      <c r="Q23" s="21"/>
      <c r="R23" s="21"/>
      <c r="S23" s="21"/>
    </row>
    <row r="24" ht="15.0" customHeight="1">
      <c r="A24" s="15" t="s">
        <v>164</v>
      </c>
      <c r="B24" s="14">
        <v>0.43472222222222223</v>
      </c>
      <c r="C24" s="15"/>
      <c r="D24" s="62" t="s">
        <v>165</v>
      </c>
      <c r="E24" s="16" t="s">
        <v>33</v>
      </c>
      <c r="F24" s="17"/>
      <c r="G24" s="62" t="s">
        <v>166</v>
      </c>
      <c r="H24" s="62" t="s">
        <v>167</v>
      </c>
      <c r="I24" s="16"/>
      <c r="J24" s="19" t="s">
        <v>168</v>
      </c>
      <c r="K24" s="63" t="s">
        <v>169</v>
      </c>
      <c r="L24" s="57"/>
      <c r="M24" s="16" t="s">
        <v>170</v>
      </c>
      <c r="N24" s="62" t="s">
        <v>171</v>
      </c>
      <c r="O24" s="62" t="s">
        <v>172</v>
      </c>
      <c r="P24" s="16"/>
      <c r="Q24" s="21"/>
      <c r="R24" s="21"/>
      <c r="S24" s="21"/>
    </row>
    <row r="25" ht="40.5" customHeight="1">
      <c r="A25" s="15" t="s">
        <v>173</v>
      </c>
      <c r="B25" s="14">
        <v>0.4354166666666667</v>
      </c>
      <c r="C25" s="15"/>
      <c r="D25" s="16" t="s">
        <v>174</v>
      </c>
      <c r="E25" s="16" t="s">
        <v>33</v>
      </c>
      <c r="F25" s="17"/>
      <c r="G25" s="16" t="s">
        <v>175</v>
      </c>
      <c r="H25" s="16" t="s">
        <v>176</v>
      </c>
      <c r="I25" s="16"/>
      <c r="J25" s="26" t="s">
        <v>177</v>
      </c>
      <c r="K25" s="64" t="s">
        <v>178</v>
      </c>
      <c r="L25" s="57" t="s">
        <v>23</v>
      </c>
      <c r="M25" s="16" t="s">
        <v>179</v>
      </c>
      <c r="N25" s="16" t="s">
        <v>180</v>
      </c>
      <c r="O25" s="16"/>
      <c r="P25" s="16"/>
      <c r="Q25" s="21"/>
      <c r="R25" s="21"/>
      <c r="S25" s="21"/>
    </row>
    <row r="26" ht="15.0" customHeight="1">
      <c r="A26" s="8" t="s">
        <v>181</v>
      </c>
      <c r="R26" s="65"/>
      <c r="S26" s="8"/>
    </row>
    <row r="27" ht="15.0" customHeight="1">
      <c r="A27" s="7" t="s">
        <v>182</v>
      </c>
      <c r="B27" s="7" t="s">
        <v>183</v>
      </c>
      <c r="C27" s="4" t="s">
        <v>2</v>
      </c>
      <c r="D27" s="7" t="s">
        <v>184</v>
      </c>
      <c r="E27" s="7"/>
      <c r="F27" s="6" t="s">
        <v>185</v>
      </c>
      <c r="G27" s="7"/>
      <c r="H27" s="7" t="s">
        <v>186</v>
      </c>
      <c r="I27" s="66"/>
      <c r="J27" s="7"/>
      <c r="K27" s="7" t="s">
        <v>187</v>
      </c>
      <c r="L27" s="7"/>
      <c r="M27" s="7" t="s">
        <v>188</v>
      </c>
      <c r="N27" s="7" t="s">
        <v>189</v>
      </c>
      <c r="O27" s="4" t="s">
        <v>14</v>
      </c>
      <c r="P27" s="66"/>
      <c r="Q27" s="66"/>
      <c r="R27" s="22" t="str">
        <f>"g0v tw hackathXXn — 中場短講 — "&amp;G27&amp;" ／ "&amp;D27&amp;" — XXX黑客松"</f>
        <v>g0v tw hackathXXn — 中場短講 —  ／ 發表者 — XXX黑客松</v>
      </c>
      <c r="S27" s="22"/>
    </row>
    <row r="28" ht="15.0" customHeight="1">
      <c r="A28" s="67">
        <v>1.0</v>
      </c>
      <c r="B28" s="14">
        <v>0.6041666666666666</v>
      </c>
      <c r="C28" s="15"/>
      <c r="D28" s="16" t="s">
        <v>21</v>
      </c>
      <c r="E28" s="16" t="s">
        <v>33</v>
      </c>
      <c r="F28" s="17" t="s">
        <v>190</v>
      </c>
      <c r="G28" s="16" t="s">
        <v>191</v>
      </c>
      <c r="H28" s="29" t="s">
        <v>192</v>
      </c>
      <c r="I28" s="16" t="s">
        <v>26</v>
      </c>
      <c r="J28" s="29" t="s">
        <v>27</v>
      </c>
      <c r="K28" s="63" t="s">
        <v>193</v>
      </c>
      <c r="L28" s="29"/>
      <c r="M28" s="29"/>
      <c r="N28" s="16"/>
      <c r="O28" s="16" t="s">
        <v>31</v>
      </c>
      <c r="P28" s="62"/>
      <c r="Q28" s="68"/>
      <c r="R28" s="68"/>
      <c r="S28" s="68"/>
    </row>
    <row r="29" ht="15.0" customHeight="1">
      <c r="A29" s="67">
        <v>2.0</v>
      </c>
      <c r="B29" s="14">
        <v>0.6111111111111112</v>
      </c>
      <c r="C29" s="15"/>
      <c r="D29" s="16" t="s">
        <v>194</v>
      </c>
      <c r="E29" s="16" t="s">
        <v>33</v>
      </c>
      <c r="F29" s="17"/>
      <c r="G29" s="21"/>
      <c r="H29" s="16" t="s">
        <v>195</v>
      </c>
      <c r="I29" s="16"/>
      <c r="J29" s="62" t="s">
        <v>27</v>
      </c>
      <c r="K29" s="26" t="s">
        <v>196</v>
      </c>
      <c r="L29" s="62"/>
      <c r="N29" s="16"/>
      <c r="O29" s="16" t="s">
        <v>197</v>
      </c>
      <c r="P29" s="62"/>
      <c r="Q29" s="68"/>
      <c r="R29" s="68"/>
      <c r="S29" s="68"/>
    </row>
    <row r="30" ht="15.0" customHeight="1">
      <c r="A30" s="67">
        <v>3.0</v>
      </c>
      <c r="B30" s="14">
        <v>0.6180555555555556</v>
      </c>
      <c r="C30" s="15"/>
      <c r="D30" s="16" t="s">
        <v>198</v>
      </c>
      <c r="E30" s="16" t="s">
        <v>33</v>
      </c>
      <c r="F30" s="17"/>
      <c r="G30" s="16"/>
      <c r="H30" s="16" t="s">
        <v>199</v>
      </c>
      <c r="I30" s="16" t="s">
        <v>26</v>
      </c>
      <c r="J30" s="19" t="s">
        <v>200</v>
      </c>
      <c r="K30" s="69" t="s">
        <v>201</v>
      </c>
      <c r="L30" s="29"/>
      <c r="M30" s="29" t="s">
        <v>202</v>
      </c>
      <c r="N30" s="29"/>
      <c r="O30" s="29" t="s">
        <v>129</v>
      </c>
      <c r="P30" s="29"/>
    </row>
    <row r="31" ht="15.0" customHeight="1">
      <c r="A31" s="16">
        <v>4.0</v>
      </c>
      <c r="B31" s="70">
        <v>0.625</v>
      </c>
      <c r="C31" s="71"/>
      <c r="D31" s="72"/>
      <c r="E31" s="16"/>
      <c r="F31" s="17"/>
      <c r="G31" s="16"/>
      <c r="H31" s="16"/>
      <c r="I31" s="73"/>
      <c r="J31" s="16"/>
      <c r="K31" s="74"/>
      <c r="L31" s="16"/>
      <c r="M31" s="16"/>
      <c r="N31" s="16"/>
      <c r="O31" s="16"/>
      <c r="P31" s="16"/>
      <c r="Q31" s="21"/>
      <c r="R31" s="21"/>
      <c r="S31" s="21"/>
    </row>
    <row r="32" ht="15.0" customHeight="1">
      <c r="A32" s="21"/>
      <c r="B32" s="75"/>
      <c r="C32" s="71"/>
      <c r="D32" s="75"/>
      <c r="E32" s="75"/>
      <c r="F32" s="71"/>
      <c r="G32" s="16"/>
      <c r="H32" s="16"/>
      <c r="I32" s="21"/>
      <c r="J32" s="21"/>
      <c r="K32" s="21"/>
      <c r="L32" s="21"/>
      <c r="M32" s="21"/>
      <c r="N32" s="21"/>
      <c r="O32" s="21"/>
      <c r="P32" s="16"/>
      <c r="Q32" s="21"/>
      <c r="R32" s="21"/>
      <c r="S32" s="21"/>
    </row>
    <row r="33" ht="15.0" customHeight="1">
      <c r="A33" s="76"/>
      <c r="B33" s="77" t="s">
        <v>203</v>
      </c>
      <c r="C33" s="78"/>
      <c r="D33" s="79" t="s">
        <v>156</v>
      </c>
      <c r="E33" s="77"/>
      <c r="F33" s="78"/>
      <c r="G33" s="80"/>
      <c r="H33" s="80"/>
      <c r="I33" s="76"/>
      <c r="J33" s="76"/>
      <c r="K33" s="76"/>
      <c r="L33" s="76"/>
      <c r="M33" s="76"/>
      <c r="N33" s="76"/>
      <c r="O33" s="76"/>
      <c r="P33" s="80"/>
      <c r="Q33" s="76"/>
      <c r="R33" s="76"/>
      <c r="S33" s="76"/>
    </row>
    <row r="34" ht="15.0" customHeight="1">
      <c r="A34" s="76"/>
      <c r="B34" s="81"/>
      <c r="C34" s="78"/>
      <c r="D34" s="82"/>
      <c r="E34" s="82"/>
      <c r="F34" s="78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</row>
    <row r="35" ht="15.0" customHeight="1">
      <c r="A35" s="21"/>
      <c r="B35" s="71"/>
      <c r="C35" s="71"/>
      <c r="D35" s="21"/>
      <c r="E35" s="21"/>
      <c r="F35" s="83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ht="15.0" customHeight="1">
      <c r="A36" s="21"/>
      <c r="B36" s="71"/>
      <c r="C36" s="71"/>
      <c r="F36" s="83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ht="15.0" customHeight="1">
      <c r="A37" s="21"/>
      <c r="B37" s="71"/>
      <c r="C37" s="71"/>
      <c r="D37" s="21"/>
      <c r="E37" s="21"/>
      <c r="F37" s="83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ht="15.0" customHeight="1">
      <c r="A38" s="21"/>
      <c r="B38" s="71"/>
      <c r="C38" s="71"/>
      <c r="D38" s="21"/>
      <c r="E38" s="21"/>
      <c r="F38" s="83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ht="15.0" customHeight="1">
      <c r="A39" s="8" t="s">
        <v>204</v>
      </c>
      <c r="R39" s="65"/>
      <c r="S39" s="8"/>
    </row>
    <row r="40" ht="15.0" customHeight="1">
      <c r="A40" s="84">
        <v>1.0</v>
      </c>
      <c r="B40" s="85">
        <v>0.6666666666666666</v>
      </c>
      <c r="C40" s="15"/>
      <c r="D40" s="16" t="s">
        <v>205</v>
      </c>
      <c r="E40" s="16" t="s">
        <v>33</v>
      </c>
      <c r="F40" s="17"/>
      <c r="G40" s="16" t="s">
        <v>206</v>
      </c>
      <c r="H40" s="16" t="s">
        <v>207</v>
      </c>
      <c r="I40" s="16" t="s">
        <v>81</v>
      </c>
      <c r="J40" s="19" t="s">
        <v>208</v>
      </c>
      <c r="K40" s="19" t="s">
        <v>209</v>
      </c>
      <c r="L40" s="16"/>
      <c r="M40" s="16"/>
      <c r="N40" s="16"/>
      <c r="O40" s="16" t="s">
        <v>210</v>
      </c>
      <c r="P40" s="16"/>
      <c r="Q40" s="16"/>
      <c r="R40" s="86" t="str">
        <f>"g0v tw hackathXXn — 成果報告 — "&amp;G40&amp;" ／ "&amp;D40&amp;" — XXX黑客松"</f>
        <v>g0v tw hackathXXn — 成果報告 — PTT不能亡 ／ Teemo — XXX黑客松</v>
      </c>
      <c r="S40" s="86"/>
    </row>
    <row r="41" ht="15.0" customHeight="1">
      <c r="A41" s="84">
        <v>2.0</v>
      </c>
      <c r="B41" s="87">
        <v>0.6701388888888888</v>
      </c>
      <c r="C41" s="15"/>
      <c r="D41" s="16" t="s">
        <v>211</v>
      </c>
      <c r="E41" s="16" t="s">
        <v>33</v>
      </c>
      <c r="F41" s="17"/>
      <c r="G41" s="16" t="s">
        <v>212</v>
      </c>
      <c r="H41" s="16" t="s">
        <v>213</v>
      </c>
      <c r="I41" s="16"/>
      <c r="J41" s="19" t="s">
        <v>125</v>
      </c>
      <c r="K41" s="26" t="s">
        <v>214</v>
      </c>
      <c r="L41" s="88" t="s">
        <v>215</v>
      </c>
      <c r="N41" s="16"/>
      <c r="O41" s="16"/>
      <c r="P41" s="16"/>
      <c r="Q41" s="21"/>
      <c r="R41" s="21"/>
      <c r="S41" s="21"/>
    </row>
    <row r="42" ht="15.0" customHeight="1">
      <c r="A42" s="84">
        <v>3.0</v>
      </c>
      <c r="B42" s="87">
        <v>0.6736111111111112</v>
      </c>
      <c r="C42" s="15"/>
      <c r="D42" s="16" t="s">
        <v>216</v>
      </c>
      <c r="E42" s="16" t="s">
        <v>33</v>
      </c>
      <c r="F42" s="17"/>
      <c r="G42" s="16" t="s">
        <v>217</v>
      </c>
      <c r="H42" s="16" t="s">
        <v>217</v>
      </c>
      <c r="I42" s="16" t="s">
        <v>218</v>
      </c>
      <c r="J42" s="26" t="s">
        <v>219</v>
      </c>
      <c r="K42" s="89"/>
      <c r="L42" s="16"/>
      <c r="M42" s="16"/>
      <c r="N42" s="16"/>
      <c r="O42" s="16"/>
      <c r="P42" s="16"/>
      <c r="Q42" s="21"/>
      <c r="R42" s="21"/>
      <c r="S42" s="21"/>
    </row>
    <row r="43" ht="28.5" customHeight="1">
      <c r="A43" s="84">
        <v>4.0</v>
      </c>
      <c r="B43" s="87">
        <v>0.6770833333333334</v>
      </c>
      <c r="C43" s="15"/>
      <c r="D43" s="16" t="s">
        <v>220</v>
      </c>
      <c r="E43" s="16" t="s">
        <v>33</v>
      </c>
      <c r="F43" s="17" t="s">
        <v>23</v>
      </c>
      <c r="G43" s="16" t="s">
        <v>34</v>
      </c>
      <c r="H43" s="16" t="s">
        <v>35</v>
      </c>
      <c r="I43" s="16" t="s">
        <v>35</v>
      </c>
      <c r="J43" s="19" t="s">
        <v>37</v>
      </c>
      <c r="K43" s="23" t="s">
        <v>38</v>
      </c>
      <c r="L43" s="24" t="s">
        <v>23</v>
      </c>
      <c r="M43" s="13" t="s">
        <v>39</v>
      </c>
      <c r="N43" s="16" t="s">
        <v>40</v>
      </c>
      <c r="O43" s="16" t="s">
        <v>41</v>
      </c>
      <c r="P43" s="16"/>
      <c r="Q43" s="16"/>
      <c r="R43" s="16"/>
      <c r="S43" s="16"/>
    </row>
    <row r="44" ht="15.0" customHeight="1">
      <c r="A44" s="13">
        <v>11.0</v>
      </c>
      <c r="B44" s="90">
        <v>0.6805555555555556</v>
      </c>
      <c r="C44" s="15"/>
      <c r="D44" s="13" t="s">
        <v>122</v>
      </c>
      <c r="E44" s="16" t="s">
        <v>33</v>
      </c>
      <c r="F44" s="17" t="s">
        <v>23</v>
      </c>
      <c r="G44" s="16" t="s">
        <v>115</v>
      </c>
      <c r="H44" s="16" t="s">
        <v>116</v>
      </c>
      <c r="I44" s="16" t="s">
        <v>26</v>
      </c>
      <c r="J44" s="49" t="s">
        <v>117</v>
      </c>
      <c r="K44" s="26" t="s">
        <v>118</v>
      </c>
      <c r="L44" s="16"/>
      <c r="M44" s="16" t="s">
        <v>119</v>
      </c>
      <c r="N44" s="16" t="s">
        <v>120</v>
      </c>
      <c r="O44" s="16" t="s">
        <v>121</v>
      </c>
      <c r="P44" s="16"/>
      <c r="Q44" s="21"/>
      <c r="R44" s="21"/>
      <c r="S44" s="21"/>
    </row>
    <row r="45" ht="15.0" customHeight="1">
      <c r="A45" s="13">
        <v>12.0</v>
      </c>
      <c r="B45" s="90">
        <v>0.6840277777777778</v>
      </c>
      <c r="C45" s="15"/>
      <c r="D45" s="13" t="s">
        <v>122</v>
      </c>
      <c r="E45" s="16" t="s">
        <v>33</v>
      </c>
      <c r="F45" s="17" t="s">
        <v>23</v>
      </c>
      <c r="G45" s="44" t="s">
        <v>123</v>
      </c>
      <c r="H45" s="44" t="s">
        <v>124</v>
      </c>
      <c r="I45" s="16" t="s">
        <v>26</v>
      </c>
      <c r="J45" s="91" t="s">
        <v>125</v>
      </c>
      <c r="K45" s="26" t="s">
        <v>126</v>
      </c>
      <c r="L45" s="16"/>
      <c r="M45" s="16" t="s">
        <v>127</v>
      </c>
      <c r="N45" s="16" t="s">
        <v>128</v>
      </c>
      <c r="O45" s="16" t="s">
        <v>129</v>
      </c>
      <c r="P45" s="16"/>
      <c r="Q45" s="21"/>
      <c r="R45" s="21"/>
      <c r="S45" s="21"/>
    </row>
    <row r="46" ht="15.0" customHeight="1">
      <c r="A46" s="84">
        <v>7.0</v>
      </c>
      <c r="B46" s="85">
        <v>0.6875</v>
      </c>
      <c r="C46" s="15"/>
      <c r="D46" s="16" t="s">
        <v>221</v>
      </c>
      <c r="E46" s="16" t="s">
        <v>33</v>
      </c>
      <c r="F46" s="17" t="s">
        <v>23</v>
      </c>
      <c r="G46" s="39" t="s">
        <v>222</v>
      </c>
      <c r="H46" s="16"/>
      <c r="I46" s="16"/>
      <c r="J46" s="19" t="s">
        <v>223</v>
      </c>
      <c r="K46" s="19" t="s">
        <v>224</v>
      </c>
      <c r="L46" s="16"/>
      <c r="M46" s="16"/>
      <c r="N46" s="16"/>
      <c r="O46" s="16"/>
      <c r="P46" s="16"/>
      <c r="Q46" s="21"/>
      <c r="R46" s="21"/>
      <c r="S46" s="21"/>
    </row>
    <row r="47" ht="15.0" customHeight="1">
      <c r="A47" s="84">
        <v>8.0</v>
      </c>
      <c r="B47" s="87">
        <v>0.6909722222222222</v>
      </c>
      <c r="C47" s="15"/>
      <c r="D47" s="16" t="s">
        <v>139</v>
      </c>
      <c r="E47" s="16" t="s">
        <v>33</v>
      </c>
      <c r="F47" s="17" t="s">
        <v>23</v>
      </c>
      <c r="G47" s="16" t="s">
        <v>69</v>
      </c>
      <c r="H47" s="16" t="s">
        <v>225</v>
      </c>
      <c r="I47" s="16"/>
      <c r="J47" s="19" t="s">
        <v>72</v>
      </c>
      <c r="K47" s="19" t="s">
        <v>73</v>
      </c>
      <c r="L47" s="16"/>
      <c r="M47" s="30" t="s">
        <v>75</v>
      </c>
      <c r="N47" s="16" t="s">
        <v>76</v>
      </c>
      <c r="O47" s="19" t="s">
        <v>226</v>
      </c>
      <c r="P47" s="16"/>
      <c r="Q47" s="21"/>
      <c r="R47" s="21"/>
      <c r="S47" s="21"/>
    </row>
    <row r="48" ht="15.0" customHeight="1">
      <c r="A48" s="84">
        <v>9.0</v>
      </c>
      <c r="B48" s="87">
        <v>0.6944444444444444</v>
      </c>
      <c r="C48" s="15"/>
      <c r="D48" s="16" t="s">
        <v>227</v>
      </c>
      <c r="E48" s="16" t="s">
        <v>33</v>
      </c>
      <c r="F48" s="17" t="s">
        <v>23</v>
      </c>
      <c r="G48" s="16" t="s">
        <v>228</v>
      </c>
      <c r="H48" s="16" t="s">
        <v>229</v>
      </c>
      <c r="I48" s="16"/>
      <c r="J48" s="19" t="s">
        <v>230</v>
      </c>
      <c r="K48" s="16"/>
      <c r="L48" s="30"/>
      <c r="M48" s="30"/>
      <c r="N48" s="16"/>
      <c r="O48" s="16"/>
      <c r="P48" s="16"/>
      <c r="Q48" s="21"/>
      <c r="R48" s="21"/>
      <c r="S48" s="21"/>
    </row>
    <row r="49" ht="15.0" customHeight="1">
      <c r="A49" s="84">
        <v>10.0</v>
      </c>
      <c r="B49" s="87">
        <v>0.6979166666666666</v>
      </c>
      <c r="C49" s="15"/>
      <c r="D49" s="16" t="s">
        <v>231</v>
      </c>
      <c r="E49" s="16" t="s">
        <v>33</v>
      </c>
      <c r="F49" s="17" t="s">
        <v>23</v>
      </c>
      <c r="G49" s="16" t="s">
        <v>232</v>
      </c>
      <c r="H49" s="16" t="s">
        <v>233</v>
      </c>
      <c r="I49" s="16" t="s">
        <v>234</v>
      </c>
      <c r="J49" s="16" t="s">
        <v>235</v>
      </c>
      <c r="K49" s="92" t="s">
        <v>236</v>
      </c>
      <c r="L49" s="16" t="s">
        <v>190</v>
      </c>
      <c r="M49" s="16" t="s">
        <v>237</v>
      </c>
      <c r="N49" s="16" t="s">
        <v>238</v>
      </c>
      <c r="O49" s="16" t="s">
        <v>239</v>
      </c>
      <c r="P49" s="21"/>
      <c r="Q49" s="21"/>
      <c r="R49" s="21"/>
      <c r="S49" s="21"/>
    </row>
    <row r="50" ht="15.0" customHeight="1">
      <c r="A50" s="84">
        <v>11.0</v>
      </c>
      <c r="B50" s="87">
        <v>0.7013888888888888</v>
      </c>
      <c r="C50" s="15"/>
      <c r="D50" s="16" t="s">
        <v>240</v>
      </c>
      <c r="E50" s="16" t="s">
        <v>33</v>
      </c>
      <c r="F50" s="17" t="s">
        <v>23</v>
      </c>
      <c r="G50" s="16" t="s">
        <v>148</v>
      </c>
      <c r="H50" s="16" t="s">
        <v>241</v>
      </c>
      <c r="I50" s="16" t="s">
        <v>150</v>
      </c>
      <c r="J50" s="19" t="s">
        <v>242</v>
      </c>
      <c r="K50" s="26" t="s">
        <v>152</v>
      </c>
      <c r="L50" s="15" t="s">
        <v>23</v>
      </c>
      <c r="M50" s="21"/>
      <c r="N50" s="21"/>
      <c r="O50" s="16" t="s">
        <v>155</v>
      </c>
      <c r="P50" s="21"/>
      <c r="Q50" s="21"/>
      <c r="R50" s="21"/>
      <c r="S50" s="16"/>
    </row>
    <row r="51" ht="15.0" customHeight="1">
      <c r="A51" s="84">
        <v>12.0</v>
      </c>
      <c r="B51" s="87">
        <v>0.7048611111111112</v>
      </c>
      <c r="C51" s="15"/>
      <c r="D51" s="16" t="s">
        <v>243</v>
      </c>
      <c r="E51" s="16" t="s">
        <v>33</v>
      </c>
      <c r="F51" s="17" t="s">
        <v>23</v>
      </c>
      <c r="G51" s="16" t="s">
        <v>89</v>
      </c>
      <c r="H51" s="89" t="s">
        <v>244</v>
      </c>
      <c r="I51" s="16" t="s">
        <v>26</v>
      </c>
      <c r="J51" s="26" t="s">
        <v>92</v>
      </c>
      <c r="K51" s="26" t="s">
        <v>92</v>
      </c>
      <c r="L51" s="15" t="s">
        <v>23</v>
      </c>
      <c r="M51" s="16"/>
      <c r="N51" s="21"/>
      <c r="O51" s="21"/>
      <c r="P51" s="16"/>
      <c r="Q51" s="16"/>
      <c r="R51" s="16"/>
      <c r="S51" s="16"/>
    </row>
    <row r="52" ht="15.0" customHeight="1">
      <c r="A52" s="16">
        <v>13.0</v>
      </c>
      <c r="B52" s="87">
        <v>0.7083333333333334</v>
      </c>
      <c r="C52" s="15"/>
      <c r="D52" s="16" t="s">
        <v>245</v>
      </c>
      <c r="E52" s="16" t="s">
        <v>33</v>
      </c>
      <c r="F52" s="17" t="s">
        <v>23</v>
      </c>
      <c r="G52" s="16"/>
      <c r="H52" s="16" t="s">
        <v>246</v>
      </c>
      <c r="I52" s="16"/>
      <c r="J52" s="89" t="s">
        <v>247</v>
      </c>
      <c r="K52" s="93" t="s">
        <v>248</v>
      </c>
      <c r="L52" s="15" t="s">
        <v>23</v>
      </c>
      <c r="M52" s="16"/>
      <c r="N52" s="16"/>
      <c r="O52" s="16"/>
      <c r="P52" s="16"/>
      <c r="Q52" s="16"/>
      <c r="R52" s="16"/>
      <c r="S52" s="16"/>
    </row>
    <row r="53" ht="15.0" customHeight="1">
      <c r="A53" s="94"/>
      <c r="B53" s="95"/>
      <c r="C53" s="95"/>
      <c r="D53" s="96"/>
      <c r="E53" s="96"/>
      <c r="F53" s="96"/>
      <c r="G53" s="96"/>
      <c r="H53" s="96"/>
      <c r="I53" s="96"/>
      <c r="J53" s="97"/>
      <c r="K53" s="96"/>
      <c r="L53" s="96"/>
      <c r="M53" s="94"/>
      <c r="N53" s="94"/>
      <c r="O53" s="96"/>
      <c r="P53" s="94"/>
      <c r="Q53" s="94"/>
      <c r="R53" s="94"/>
      <c r="S53" s="94"/>
    </row>
    <row r="54" ht="15.0" customHeight="1">
      <c r="A54" s="94"/>
      <c r="B54" s="95"/>
      <c r="C54" s="95"/>
      <c r="D54" s="96"/>
      <c r="E54" s="96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</row>
  </sheetData>
  <mergeCells count="8">
    <mergeCell ref="A1:N1"/>
    <mergeCell ref="A3:Q3"/>
    <mergeCell ref="A4:N4"/>
    <mergeCell ref="A5:R5"/>
    <mergeCell ref="G21:H21"/>
    <mergeCell ref="A22:R22"/>
    <mergeCell ref="A26:Q26"/>
    <mergeCell ref="A39:Q39"/>
  </mergeCells>
  <dataValidations>
    <dataValidation type="list" allowBlank="1" sqref="E6">
      <formula1>"實體出席,預錄影片"</formula1>
    </dataValidation>
    <dataValidation type="list" allowBlank="1" sqref="E7:E20 E24 E28:E31 E40:E52">
      <formula1>"實體,預錄影片"</formula1>
    </dataValidation>
  </dataValidations>
  <hyperlinks>
    <hyperlink r:id="rId1" ref="K6"/>
    <hyperlink r:id="rId2" ref="J7"/>
    <hyperlink r:id="rId3" ref="K7"/>
    <hyperlink r:id="rId4" ref="S7"/>
    <hyperlink r:id="rId5" ref="J8"/>
    <hyperlink r:id="rId6" ref="K8"/>
    <hyperlink r:id="rId7" ref="K9"/>
    <hyperlink r:id="rId8" ref="J10"/>
    <hyperlink r:id="rId9" ref="K10"/>
    <hyperlink r:id="rId10" ref="J11"/>
    <hyperlink r:id="rId11" ref="K11"/>
    <hyperlink r:id="rId12" ref="O11"/>
    <hyperlink r:id="rId13" ref="J12"/>
    <hyperlink r:id="rId14" location="/" ref="K12"/>
    <hyperlink r:id="rId15" ref="J13"/>
    <hyperlink r:id="rId16" ref="K13"/>
    <hyperlink r:id="rId17" ref="K14"/>
    <hyperlink r:id="rId18" ref="J15"/>
    <hyperlink r:id="rId19" ref="K15"/>
    <hyperlink r:id="rId20" ref="J16"/>
    <hyperlink r:id="rId21" ref="K16"/>
    <hyperlink r:id="rId22" ref="J17"/>
    <hyperlink r:id="rId23" ref="K17"/>
    <hyperlink r:id="rId24" ref="J18"/>
    <hyperlink r:id="rId25" ref="K18"/>
    <hyperlink r:id="rId26" ref="J19"/>
    <hyperlink r:id="rId27" ref="K19"/>
    <hyperlink r:id="rId28" ref="J20"/>
    <hyperlink r:id="rId29" location="slide=id.p" ref="K20"/>
    <hyperlink r:id="rId30" ref="J23"/>
    <hyperlink r:id="rId31" ref="J24"/>
    <hyperlink r:id="rId32" ref="K24"/>
    <hyperlink r:id="rId33" ref="J25"/>
    <hyperlink r:id="rId34" location="slide=id.g23ec3a47f94_2_75" ref="K25"/>
    <hyperlink r:id="rId35" ref="K28"/>
    <hyperlink r:id="rId36" location="slide=id.p" ref="K29"/>
    <hyperlink r:id="rId37" ref="J30"/>
    <hyperlink r:id="rId38" ref="K30"/>
    <hyperlink r:id="rId39" ref="J40"/>
    <hyperlink r:id="rId40" ref="K40"/>
    <hyperlink r:id="rId41" ref="J41"/>
    <hyperlink r:id="rId42" ref="K41"/>
    <hyperlink r:id="rId43" ref="L41"/>
    <hyperlink r:id="rId44" ref="J42"/>
    <hyperlink r:id="rId45" ref="J43"/>
    <hyperlink r:id="rId46" ref="K43"/>
    <hyperlink r:id="rId47" ref="J44"/>
    <hyperlink r:id="rId48" ref="K44"/>
    <hyperlink r:id="rId49" ref="J45"/>
    <hyperlink r:id="rId50" ref="K45"/>
    <hyperlink r:id="rId51" ref="J46"/>
    <hyperlink r:id="rId52" ref="K46"/>
    <hyperlink r:id="rId53" ref="J47"/>
    <hyperlink r:id="rId54" ref="K47"/>
    <hyperlink r:id="rId55" ref="O47"/>
    <hyperlink r:id="rId56" ref="J48"/>
    <hyperlink r:id="rId57" ref="K49"/>
    <hyperlink r:id="rId58" location="%E5%8D%94%E4%BD%9C" ref="J50"/>
    <hyperlink r:id="rId59" location="slide=id.p" ref="K50"/>
    <hyperlink r:id="rId60" ref="J51"/>
    <hyperlink r:id="rId61" ref="K51"/>
  </hyperlinks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5" width="7.5"/>
  </cols>
  <sheetData>
    <row r="1" ht="35.25" customHeight="1">
      <c r="A1" s="98"/>
      <c r="B1" s="98"/>
      <c r="C1" s="99">
        <v>101.0</v>
      </c>
      <c r="J1" s="98"/>
      <c r="K1" s="100"/>
      <c r="L1" s="99" t="s">
        <v>249</v>
      </c>
      <c r="Q1" s="101"/>
      <c r="R1" s="101"/>
      <c r="S1" s="99">
        <v>108.0</v>
      </c>
    </row>
    <row r="2" ht="35.25" customHeight="1">
      <c r="A2" s="98"/>
      <c r="B2" s="98"/>
      <c r="C2" s="98"/>
      <c r="D2" s="101"/>
      <c r="E2" s="102"/>
      <c r="F2" s="103" t="s">
        <v>250</v>
      </c>
      <c r="G2" s="104"/>
      <c r="H2" s="104"/>
      <c r="I2" s="98"/>
      <c r="J2" s="98"/>
      <c r="K2" s="105"/>
      <c r="L2" s="105"/>
      <c r="M2" s="105"/>
      <c r="N2" s="105"/>
      <c r="O2" s="105"/>
      <c r="P2" s="105"/>
      <c r="Q2" s="101"/>
      <c r="R2" s="101"/>
      <c r="S2" s="98"/>
      <c r="T2" s="101"/>
      <c r="U2" s="102"/>
      <c r="V2" s="103" t="s">
        <v>250</v>
      </c>
      <c r="W2" s="104"/>
      <c r="X2" s="104"/>
      <c r="Y2" s="98"/>
    </row>
    <row r="3" ht="35.25" customHeight="1">
      <c r="A3" s="98"/>
      <c r="B3" s="98"/>
      <c r="C3" s="106" t="s">
        <v>106</v>
      </c>
      <c r="D3" s="107"/>
      <c r="E3" s="108" t="s">
        <v>251</v>
      </c>
      <c r="F3" s="107"/>
      <c r="G3" s="109"/>
      <c r="H3" s="107"/>
      <c r="I3" s="110" t="s">
        <v>252</v>
      </c>
      <c r="J3" s="98"/>
      <c r="K3" s="105"/>
      <c r="L3" s="105"/>
      <c r="M3" s="105"/>
      <c r="N3" s="105"/>
      <c r="O3" s="105"/>
      <c r="P3" s="105"/>
      <c r="Q3" s="101"/>
      <c r="R3" s="101"/>
      <c r="S3" s="106"/>
      <c r="T3" s="107"/>
      <c r="U3" s="108"/>
      <c r="V3" s="107"/>
      <c r="W3" s="109"/>
      <c r="X3" s="107"/>
      <c r="Y3" s="110"/>
    </row>
    <row r="4" ht="35.25" customHeight="1">
      <c r="A4" s="98"/>
      <c r="B4" s="98"/>
      <c r="C4" s="111"/>
      <c r="D4" s="101"/>
      <c r="E4" s="111"/>
      <c r="F4" s="101"/>
      <c r="G4" s="112"/>
      <c r="H4" s="101"/>
      <c r="I4" s="112"/>
      <c r="J4" s="98"/>
      <c r="K4" s="105"/>
      <c r="L4" s="113" t="s">
        <v>253</v>
      </c>
      <c r="M4" s="105"/>
      <c r="N4" s="105"/>
      <c r="O4" s="105"/>
      <c r="P4" s="113" t="s">
        <v>254</v>
      </c>
      <c r="Q4" s="101"/>
      <c r="R4" s="101"/>
      <c r="S4" s="111"/>
      <c r="T4" s="101"/>
      <c r="U4" s="111"/>
      <c r="V4" s="101"/>
      <c r="W4" s="112"/>
      <c r="X4" s="101"/>
      <c r="Y4" s="112"/>
    </row>
    <row r="5" ht="35.25" customHeight="1">
      <c r="A5" s="98"/>
      <c r="B5" s="98"/>
      <c r="C5" s="112"/>
      <c r="D5" s="101"/>
      <c r="E5" s="111"/>
      <c r="F5" s="101"/>
      <c r="G5" s="112"/>
      <c r="H5" s="101"/>
      <c r="I5" s="111"/>
      <c r="J5" s="98"/>
      <c r="K5" s="105"/>
      <c r="L5" s="105"/>
      <c r="M5" s="105"/>
      <c r="N5" s="105"/>
      <c r="O5" s="105"/>
      <c r="P5" s="105"/>
      <c r="Q5" s="101"/>
      <c r="R5" s="101"/>
      <c r="S5" s="112"/>
      <c r="T5" s="101"/>
      <c r="U5" s="111"/>
      <c r="V5" s="101"/>
      <c r="W5" s="112"/>
      <c r="X5" s="101"/>
      <c r="Y5" s="111"/>
    </row>
    <row r="6" ht="35.25" customHeight="1">
      <c r="A6" s="98"/>
      <c r="B6" s="98"/>
      <c r="C6" s="112"/>
      <c r="D6" s="101"/>
      <c r="E6" s="111"/>
      <c r="F6" s="101"/>
      <c r="G6" s="112"/>
      <c r="H6" s="101"/>
      <c r="I6" s="112"/>
      <c r="J6" s="98"/>
      <c r="K6" s="105"/>
      <c r="L6" s="105"/>
      <c r="M6" s="105"/>
      <c r="N6" s="105"/>
      <c r="O6" s="105"/>
      <c r="P6" s="105"/>
      <c r="Q6" s="101"/>
      <c r="R6" s="101"/>
      <c r="S6" s="112"/>
      <c r="T6" s="101"/>
      <c r="U6" s="111"/>
      <c r="V6" s="101"/>
      <c r="W6" s="112"/>
      <c r="X6" s="101"/>
      <c r="Y6" s="112"/>
    </row>
    <row r="7" ht="35.25" customHeight="1">
      <c r="A7" s="98"/>
      <c r="B7" s="98"/>
      <c r="C7" s="112"/>
      <c r="D7" s="101"/>
      <c r="E7" s="111"/>
      <c r="F7" s="101"/>
      <c r="G7" s="114" t="s">
        <v>255</v>
      </c>
      <c r="H7" s="101"/>
      <c r="I7" s="112"/>
      <c r="J7" s="98"/>
      <c r="K7" s="105"/>
      <c r="L7" s="105"/>
      <c r="M7" s="105"/>
      <c r="N7" s="105"/>
      <c r="O7" s="105"/>
      <c r="P7" s="105"/>
      <c r="Q7" s="101"/>
      <c r="R7" s="101"/>
      <c r="S7" s="112"/>
      <c r="T7" s="101"/>
      <c r="U7" s="111"/>
      <c r="V7" s="101"/>
      <c r="W7" s="114"/>
      <c r="X7" s="101"/>
      <c r="Y7" s="112"/>
    </row>
    <row r="8" ht="35.25" customHeight="1">
      <c r="A8" s="98"/>
      <c r="B8" s="98"/>
      <c r="C8" s="112"/>
      <c r="D8" s="101"/>
      <c r="E8" s="111"/>
      <c r="F8" s="101"/>
      <c r="G8" s="115"/>
      <c r="H8" s="101"/>
      <c r="I8" s="112"/>
      <c r="J8" s="98"/>
      <c r="K8" s="105"/>
      <c r="L8" s="105"/>
      <c r="M8" s="105"/>
      <c r="N8" s="105"/>
      <c r="O8" s="105"/>
      <c r="P8" s="116" t="s">
        <v>256</v>
      </c>
      <c r="Q8" s="101"/>
      <c r="R8" s="101"/>
      <c r="S8" s="112"/>
      <c r="T8" s="101"/>
      <c r="U8" s="111"/>
      <c r="V8" s="101"/>
      <c r="W8" s="115"/>
      <c r="X8" s="101"/>
      <c r="Y8" s="112"/>
    </row>
    <row r="9" ht="35.25" customHeight="1">
      <c r="A9" s="102"/>
      <c r="B9" s="102" t="s">
        <v>257</v>
      </c>
      <c r="C9" s="117"/>
      <c r="D9" s="101"/>
      <c r="E9" s="118" t="s">
        <v>258</v>
      </c>
      <c r="F9" s="101"/>
      <c r="G9" s="118" t="s">
        <v>259</v>
      </c>
      <c r="H9" s="101"/>
      <c r="I9" s="117"/>
      <c r="J9" s="98"/>
      <c r="K9" s="105"/>
      <c r="L9" s="105"/>
      <c r="M9" s="113" t="s">
        <v>260</v>
      </c>
      <c r="N9" s="105"/>
      <c r="O9" s="105"/>
      <c r="P9" s="119" t="s">
        <v>261</v>
      </c>
      <c r="Q9" s="101"/>
      <c r="R9" s="101"/>
      <c r="S9" s="117"/>
      <c r="T9" s="101"/>
      <c r="U9" s="118"/>
      <c r="V9" s="101"/>
      <c r="W9" s="118"/>
      <c r="X9" s="101"/>
      <c r="Y9" s="117"/>
    </row>
    <row r="10" ht="35.25" customHeight="1">
      <c r="A10" s="98"/>
      <c r="B10" s="98"/>
      <c r="C10" s="105"/>
      <c r="D10" s="105"/>
      <c r="E10" s="105"/>
      <c r="F10" s="105"/>
      <c r="G10" s="105"/>
      <c r="H10" s="98"/>
      <c r="I10" s="98"/>
      <c r="J10" s="98"/>
      <c r="K10" s="105"/>
      <c r="L10" s="105"/>
      <c r="M10" s="105"/>
      <c r="N10" s="105"/>
      <c r="O10" s="105"/>
      <c r="P10" s="105"/>
      <c r="Q10" s="101"/>
      <c r="R10" s="101"/>
      <c r="S10" s="101"/>
      <c r="T10" s="101"/>
      <c r="U10" s="101"/>
      <c r="V10" s="101"/>
      <c r="W10" s="101"/>
      <c r="X10" s="101"/>
      <c r="Y10" s="101"/>
    </row>
    <row r="11" ht="35.25" customHeight="1">
      <c r="A11" s="98"/>
      <c r="B11" s="98"/>
      <c r="C11" s="105"/>
      <c r="D11" s="105"/>
      <c r="E11" s="105"/>
      <c r="F11" s="105"/>
      <c r="G11" s="105"/>
      <c r="H11" s="98"/>
      <c r="I11" s="98"/>
      <c r="J11" s="98"/>
      <c r="K11" s="105"/>
      <c r="L11" s="105"/>
      <c r="M11" s="105"/>
      <c r="N11" s="105"/>
      <c r="O11" s="105"/>
      <c r="P11" s="105"/>
      <c r="Q11" s="101"/>
      <c r="R11" s="101"/>
      <c r="S11" s="101"/>
      <c r="T11" s="101"/>
      <c r="U11" s="101"/>
      <c r="V11" s="101"/>
      <c r="W11" s="101"/>
      <c r="X11" s="101"/>
      <c r="Y11" s="101"/>
    </row>
    <row r="12" ht="35.25" customHeight="1">
      <c r="A12" s="98"/>
      <c r="B12" s="99" t="s">
        <v>262</v>
      </c>
      <c r="J12" s="98"/>
      <c r="K12" s="100"/>
      <c r="L12" s="99" t="s">
        <v>263</v>
      </c>
      <c r="Q12" s="101"/>
      <c r="R12" s="101"/>
      <c r="S12" s="101"/>
      <c r="T12" s="101"/>
      <c r="U12" s="101"/>
      <c r="V12" s="101"/>
      <c r="W12" s="101"/>
      <c r="X12" s="101"/>
      <c r="Y12" s="101"/>
    </row>
    <row r="13" ht="35.25" customHeight="1">
      <c r="A13" s="98"/>
      <c r="B13" s="98"/>
      <c r="C13" s="98"/>
      <c r="D13" s="120"/>
      <c r="E13" s="102" t="s">
        <v>264</v>
      </c>
      <c r="G13" s="98"/>
      <c r="H13" s="98"/>
      <c r="I13" s="98"/>
      <c r="J13" s="98"/>
      <c r="K13" s="98"/>
      <c r="L13" s="98"/>
      <c r="M13" s="98"/>
      <c r="N13" s="101"/>
      <c r="O13" s="101"/>
      <c r="P13" s="105"/>
      <c r="Q13" s="101"/>
      <c r="R13" s="101"/>
      <c r="S13" s="101"/>
      <c r="T13" s="101"/>
      <c r="U13" s="101"/>
      <c r="V13" s="101"/>
      <c r="W13" s="101"/>
      <c r="X13" s="101"/>
      <c r="Y13" s="101"/>
    </row>
    <row r="14" ht="35.25" customHeight="1">
      <c r="A14" s="98"/>
      <c r="B14" s="98"/>
      <c r="C14" s="121" t="s">
        <v>265</v>
      </c>
      <c r="D14" s="120"/>
      <c r="E14" s="122" t="s">
        <v>24</v>
      </c>
      <c r="F14" s="123"/>
      <c r="G14" s="98"/>
      <c r="H14" s="124"/>
      <c r="I14" s="123"/>
      <c r="J14" s="98"/>
      <c r="K14" s="98"/>
      <c r="L14" s="98"/>
      <c r="M14" s="98"/>
      <c r="N14" s="101"/>
      <c r="O14" s="101"/>
      <c r="P14" s="116" t="s">
        <v>266</v>
      </c>
      <c r="Q14" s="101"/>
      <c r="R14" s="101"/>
      <c r="S14" s="101"/>
      <c r="T14" s="101"/>
      <c r="U14" s="101"/>
      <c r="V14" s="101"/>
      <c r="W14" s="101"/>
      <c r="X14" s="101"/>
      <c r="Y14" s="101"/>
    </row>
    <row r="15" ht="35.25" customHeight="1">
      <c r="A15" s="98"/>
      <c r="B15" s="98"/>
      <c r="C15" s="98"/>
      <c r="D15" s="120"/>
      <c r="E15" s="102"/>
      <c r="F15" s="120"/>
      <c r="G15" s="102"/>
      <c r="H15" s="102"/>
      <c r="I15" s="102"/>
      <c r="J15" s="98" t="s">
        <v>267</v>
      </c>
      <c r="K15" s="105"/>
      <c r="L15" s="116" t="s">
        <v>268</v>
      </c>
      <c r="M15" s="98"/>
      <c r="N15" s="101"/>
      <c r="O15" s="101"/>
      <c r="P15" s="125" t="s">
        <v>269</v>
      </c>
      <c r="Q15" s="101"/>
      <c r="R15" s="101"/>
      <c r="S15" s="101"/>
      <c r="T15" s="101"/>
      <c r="U15" s="101"/>
      <c r="V15" s="101"/>
      <c r="W15" s="101"/>
      <c r="X15" s="101"/>
      <c r="Y15" s="101"/>
    </row>
    <row r="16" ht="35.25" customHeight="1">
      <c r="A16" s="98"/>
      <c r="B16" s="124"/>
      <c r="C16" s="123"/>
      <c r="D16" s="102"/>
      <c r="E16" s="122" t="s">
        <v>270</v>
      </c>
      <c r="F16" s="123"/>
      <c r="G16" s="102"/>
      <c r="H16" s="126"/>
      <c r="I16" s="127"/>
      <c r="J16" s="98"/>
      <c r="K16" s="102"/>
      <c r="L16" s="114" t="s">
        <v>271</v>
      </c>
      <c r="M16" s="98"/>
      <c r="N16" s="101"/>
      <c r="O16" s="101"/>
      <c r="P16" s="125" t="s">
        <v>272</v>
      </c>
      <c r="Q16" s="101"/>
      <c r="R16" s="101"/>
      <c r="S16" s="101"/>
      <c r="T16" s="101"/>
      <c r="U16" s="101"/>
      <c r="V16" s="101"/>
      <c r="W16" s="101"/>
      <c r="X16" s="101"/>
      <c r="Y16" s="101"/>
    </row>
    <row r="17" ht="35.25" customHeight="1">
      <c r="A17" s="98"/>
      <c r="B17" s="98"/>
      <c r="C17" s="98"/>
      <c r="D17" s="98"/>
      <c r="E17" s="98"/>
      <c r="F17" s="98"/>
      <c r="G17" s="98"/>
      <c r="H17" s="102"/>
      <c r="I17" s="102"/>
      <c r="J17" s="98"/>
      <c r="K17" s="102"/>
      <c r="L17" s="118" t="s">
        <v>273</v>
      </c>
      <c r="M17" s="98"/>
      <c r="N17" s="101"/>
      <c r="O17" s="101"/>
      <c r="P17" s="119" t="s">
        <v>274</v>
      </c>
      <c r="Q17" s="101"/>
      <c r="R17" s="101"/>
      <c r="S17" s="101"/>
      <c r="T17" s="101"/>
      <c r="U17" s="101"/>
      <c r="V17" s="101"/>
      <c r="W17" s="101"/>
      <c r="X17" s="101"/>
      <c r="Y17" s="101"/>
    </row>
    <row r="18" ht="35.25" customHeight="1">
      <c r="A18" s="98"/>
      <c r="B18" s="124"/>
      <c r="C18" s="128" t="s">
        <v>60</v>
      </c>
      <c r="D18" s="101"/>
      <c r="E18" s="124"/>
      <c r="F18" s="123"/>
      <c r="G18" s="98"/>
      <c r="H18" s="122" t="s">
        <v>275</v>
      </c>
      <c r="I18" s="127" t="s">
        <v>276</v>
      </c>
      <c r="J18" s="98" t="s">
        <v>257</v>
      </c>
      <c r="K18" s="98"/>
      <c r="L18" s="98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35.25" customHeight="1">
      <c r="A19" s="98"/>
      <c r="B19" s="98"/>
      <c r="C19" s="98"/>
      <c r="D19" s="101"/>
      <c r="E19" s="98"/>
      <c r="F19" s="98"/>
      <c r="G19" s="98"/>
      <c r="H19" s="129"/>
      <c r="I19" s="129"/>
      <c r="J19" s="98"/>
      <c r="K19" s="120"/>
      <c r="L19" s="120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ht="35.25" customHeight="1">
      <c r="A20" s="98"/>
      <c r="B20" s="98"/>
      <c r="C20" s="98"/>
      <c r="D20" s="101"/>
      <c r="E20" s="102" t="s">
        <v>277</v>
      </c>
      <c r="F20" s="102"/>
      <c r="G20" s="102" t="s">
        <v>278</v>
      </c>
      <c r="H20" s="98"/>
      <c r="I20" s="98"/>
      <c r="J20" s="98"/>
      <c r="K20" s="105"/>
      <c r="L20" s="113" t="s">
        <v>279</v>
      </c>
      <c r="M20" s="98"/>
      <c r="N20" s="121" t="s">
        <v>280</v>
      </c>
      <c r="O20" s="101"/>
      <c r="P20" s="121"/>
      <c r="Q20" s="101"/>
      <c r="R20" s="101"/>
      <c r="S20" s="101"/>
      <c r="T20" s="101"/>
      <c r="U20" s="101"/>
      <c r="V20" s="101"/>
      <c r="W20" s="101"/>
      <c r="X20" s="101"/>
      <c r="Y20" s="101"/>
    </row>
    <row r="21" ht="35.25" customHeight="1">
      <c r="A21" s="101"/>
      <c r="B21" s="101"/>
      <c r="C21" s="121" t="s">
        <v>281</v>
      </c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35.2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ht="35.2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ht="35.2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</sheetData>
  <mergeCells count="6">
    <mergeCell ref="C1:I1"/>
    <mergeCell ref="L1:P1"/>
    <mergeCell ref="S1:Y1"/>
    <mergeCell ref="B12:I12"/>
    <mergeCell ref="L12:P12"/>
    <mergeCell ref="E13:F13"/>
  </mergeCells>
  <drawing r:id="rId1"/>
</worksheet>
</file>