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<sst xmlns="http://schemas.openxmlformats.org/spreadsheetml/2006/main" count="317" uniqueCount="221">
  <si>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</si>
  <si>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</si>
  <si>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</si>
  <si>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</si>
  <si>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</si>
  <si>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</si>
  <si>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</si>
  <si>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</si>
  <si>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</si>
  <si>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</si>
  <si>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</si>
  <si>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</si>
  <si>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</si>
  <si>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10/24 09:30開場，09:40提案開始【3分鐘提案報名】每個 present 3min，提案、徵人。</t>
  </si>
  <si>
    <t>直播網址</t>
  </si>
  <si>
    <t>youtube 播放清單</t>
  </si>
  <si>
    <t>https://www.youtube.com/playlist?list=PLdwQWxpS513DCtvJq7bmo8UIG9b-hx8Qf</t>
  </si>
  <si>
    <t>新聞　分析　媒體組織的行為</t>
  </si>
  <si>
    <t>1.分類文字新聞
2.分類電視新聞
3.勞力者</t>
  </si>
  <si>
    <t>食蛇龜、生態、資訊交流</t>
  </si>
  <si>
    <t>HTML+CSS+JS、資訊視覺化設計</t>
  </si>
  <si>
    <t>V</t>
  </si>
  <si>
    <t>Michael_LI</t>
  </si>
  <si>
    <t>OK</t>
  </si>
  <si>
    <t>八仙塵爆　新聞分析（80天）</t>
  </si>
  <si>
    <t>晚點開專區</t>
  </si>
  <si>
    <t>If</t>
  </si>
  <si>
    <t>救救臺灣龜與生態研究資訊交流</t>
  </si>
  <si>
    <t>程式 MIT / CC BY-NC 4.0</t>
  </si>
  <si>
    <t>https://g0v.hackpad.com/tFDaeOtsSbU
https://hackfoldr.org/turtle-cuora</t>
  </si>
  <si>
    <t>MrOrz (Johnson)</t>
  </si>
  <si>
    <t>ok</t>
  </si>
  <si>
    <t>2016 總統大選承諾一覽表</t>
  </si>
  <si>
    <t>程式 MIT / 承諾資料 CC BY 4.0</t>
  </si>
  <si>
    <t>http://beta.hackfoldr.org/president2016-folder</t>
  </si>
  <si>
    <t>http://hacktabl.org/president2016</t>
  </si>
  <si>
    <t>總統大選, 選舉承諾, 表格 UX design</t>
  </si>
  <si>
    <t>新聞, 政治, UI / UX</t>
  </si>
  <si>
    <t>http://www.slideshare.net/JohnsonLiang1/2016-g0v-hackath15n</t>
  </si>
  <si>
    <t>chewei</t>
  </si>
  <si>
    <t>公有地大行動-財政部國產署管理土地地圖</t>
  </si>
  <si>
    <t>CC BY 4.0</t>
  </si>
  <si>
    <t>http://hackfoldr.org/POPonFire</t>
  </si>
  <si>
    <t>http://land.shida.info/</t>
  </si>
  <si>
    <t>地號, 地圖, 公有資產</t>
  </si>
  <si>
    <t>爬資料, 地圖, db</t>
  </si>
  <si>
    <t>https://www.youtube.com/watch?v=wG6zkqn-wSI</t>
  </si>
  <si>
    <t>https://goo.gl/B1URIl</t>
  </si>
  <si>
    <t>Translate4you 為你翻譯</t>
  </si>
  <si>
    <t>程式授權待查 / CC BY 4.0</t>
  </si>
  <si>
    <t>https://g0v.hackpad.com/Translate4you--j5b4i4DdTbX</t>
  </si>
  <si>
    <t>https://github.com/g0v/Translate4you</t>
  </si>
  <si>
    <t>翻譯, 語言, 工具</t>
  </si>
  <si>
    <t>Ul, 程式, 翻譯</t>
  </si>
  <si>
    <t>https://www.youtube.com/watch?v=NHoJdkeUXd0</t>
  </si>
  <si>
    <t>https://goo.gl/YIY1hh</t>
  </si>
  <si>
    <t>yan</t>
  </si>
  <si>
    <t>農作物開放資料</t>
  </si>
  <si>
    <t>https://g0v.hackpad.com/agrisync--kCmdNxq7RUe</t>
  </si>
  <si>
    <t>https://goo.gl/xRa1rT</t>
  </si>
  <si>
    <t>農業、維基物種、圖鑑</t>
  </si>
  <si>
    <t>農作物分類, 爬資料, 資料儲存</t>
  </si>
  <si>
    <t>https://goo.gl/8ifIof</t>
  </si>
  <si>
    <t>Macpaul/Mindos</t>
  </si>
  <si>
    <t>逆滲透 - 開放資料研究社</t>
  </si>
  <si>
    <t>chihao</t>
  </si>
  <si>
    <t>g0v@台北數位藝術節</t>
  </si>
  <si>
    <t>http://beta.hackfoldr.org/%E7%9C%BE%E5%BF%97%E6%88%90%E5%9F%8E/hackath16n-AhBaJJ6GX6V</t>
  </si>
  <si>
    <t>http://chihaoyo.github.io/0art/</t>
  </si>
  <si>
    <t>g0v 藝術</t>
  </si>
  <si>
    <t>Peggy</t>
  </si>
  <si>
    <t>公務員開放資料Lesson 1</t>
  </si>
  <si>
    <t>https://hackpad.com/Lesson-1-NNteOTb7Ftd</t>
  </si>
  <si>
    <t>https://www.dropbox.com/s/sb7wy8y69qjanad/%E5%85%AC%E5%8B%99%E5%93%A1%E9%96%8B%E6%94%BE%E8%B3%87%E6%96%99Lesson%201.pptx?dl=0</t>
  </si>
  <si>
    <t>公務員、操作手冊、開放資料格式</t>
  </si>
  <si>
    <t>能具體說明格式問題的人</t>
  </si>
  <si>
    <t>https://www.youtube.com/watch?v=rJjV3Qhcd3g</t>
  </si>
  <si>
    <t>Dylandy</t>
  </si>
  <si>
    <t>共享路平</t>
  </si>
  <si>
    <t>MIT / CC BY 4.0</t>
  </si>
  <si>
    <t>https://g0v.hackpad.com/Iz4ydeSxlGH</t>
  </si>
  <si>
    <t>https://docs.google.com/presentation/d/1N6ofpoOKhPhOJsi9JrbF2rYSvRuRy4dOsQ3UcfvkABw/edit#slide=id.gd0980cc7c_1_0</t>
  </si>
  <si>
    <t>路平、共享</t>
  </si>
  <si>
    <t>app 、後端 、GIS</t>
  </si>
  <si>
    <t>https://www.youtube.com/watch?v=JU2Inaru8wg</t>
  </si>
  <si>
    <t>a0kman</t>
  </si>
  <si>
    <t>超農域-醫農&amp;Stage 2</t>
  </si>
  <si>
    <t>http://hackfoldr.org/agriculture/dz2qc0E8i0T</t>
  </si>
  <si>
    <t>http://g0v.github.io/agriculture/pesticide/usages/</t>
  </si>
  <si>
    <t>農業、地圖、疫情</t>
  </si>
  <si>
    <t>UI/UX、前端、GIS</t>
  </si>
  <si>
    <t>柏瑜</t>
  </si>
  <si>
    <t>生活政治的資訊系統計畫</t>
  </si>
  <si>
    <t>https://hackpad.com/5ywvJjfdnZX</t>
  </si>
  <si>
    <t>https://docs.google.com/presentation/d/1Ph1177Z98t-mHYjaQ40h61qE-QkMmO0LTgf4caKC1f4/edit#slide=id.p</t>
  </si>
  <si>
    <t>社區、平台、政治</t>
  </si>
  <si>
    <t>UI/UX、後端</t>
  </si>
  <si>
    <t>https://www.youtube.com/watch?v=cKD4xdV5SUo</t>
  </si>
  <si>
    <t>https://docs.google.com/presentation/d/1Ph1177Z98t-mHYjaQ40h61qE-QkMmO0LTgf4caKC1f4/edit?usp=sharing</t>
  </si>
  <si>
    <t>理查</t>
  </si>
  <si>
    <t>開放都市-委員會會議記錄資料庫</t>
  </si>
  <si>
    <t>https://g0v.hackpad.com/--BpW2Xt7s8AH</t>
  </si>
  <si>
    <t>https://github.com/g0v/urbancode-commission</t>
  </si>
  <si>
    <t>都市計畫, 文件資料庫</t>
  </si>
  <si>
    <t>資料結構, 資料庫設計</t>
  </si>
  <si>
    <t>https://www.youtube.com/watch?v=ViYCaskYF5Y</t>
  </si>
  <si>
    <t>weiting</t>
  </si>
  <si>
    <t>阿美語萌典</t>
  </si>
  <si>
    <t>CC BY-NC</t>
  </si>
  <si>
    <t>https://hackpad.com/WPLVA9cNxOc</t>
  </si>
  <si>
    <t>http://ckhis.ck.tp.edu.tw/~ljm/amis-mp/</t>
  </si>
  <si>
    <t>阿美語, 萌典</t>
  </si>
  <si>
    <t>文字工、校對</t>
  </si>
  <si>
    <t>https://www.youtube.com/watch?v=Tl3a_Ny6XWs</t>
  </si>
  <si>
    <t>YK</t>
  </si>
  <si>
    <t>原能會管制事件時間軸</t>
  </si>
  <si>
    <t>https://g0v.hackpad.com/Sd7OkOgUSbH</t>
  </si>
  <si>
    <t>https://www.dropbox.com/s/8ipjomxr6ig7c8y/2015_10_24%20%E5%8E%9F%E8%83%BD%E6%9C%83%E7%AE%A1%E5%88%B6%E4%BA%8B%E4%BB%B6%E6%99%82%E9%96%93%E8%BB%B8%E6%8F%90%E6%A1%88.pptx?dl=0</t>
  </si>
  <si>
    <t>原能會、政誌、時間軸</t>
  </si>
  <si>
    <t>議題、爬資料、時間軸設計</t>
  </si>
  <si>
    <t>ipa</t>
  </si>
  <si>
    <t>g0v project pool</t>
  </si>
  <si>
    <t>CC BY-4.0</t>
  </si>
  <si>
    <t>http://g0v.github.io/projectPool/</t>
  </si>
  <si>
    <t>http://g0v.tw/en-US/projects.html</t>
  </si>
  <si>
    <t>g0v基礎建設 專案 整理</t>
  </si>
  <si>
    <t>https://www.youtube.com/watch?v=0G47anUlNeE</t>
  </si>
  <si>
    <t>dab（中午以後就會消失）</t>
  </si>
  <si>
    <t>政知道了（暫）</t>
  </si>
  <si>
    <t>https://docs.google.com/document/d/1laNG-OWmxtkRNW0v_-CEspsHiD58Ih-CimmTh4ddiQg/edit</t>
  </si>
  <si>
    <t>https://www.icloud.com/keynote/000AkAxYrDVK_D6fwpwoNbdxg#g0v</t>
  </si>
  <si>
    <t>Polis、Live直播、政知節目</t>
  </si>
  <si>
    <t>熟「總統政見一覽表」「Polis」的人</t>
  </si>
  <si>
    <t>https://www.youtube.com/watch?v=RhIAYOwd3ZM</t>
  </si>
  <si>
    <t>== 截止 ==</t>
  </si>
  <si>
    <t>10/24 14:30【8分鐘短講報名】
每個 present 8min，分享技術、議題、專案、研究皆可。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</si>
  <si>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</si>
  <si>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</si>
  <si>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</si>
  <si>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</si>
  <si>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</si>
  <si>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</si>
  <si>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陳振宇</t>
  </si>
  <si>
    <t>歷史土砂災害照片時間軸地圖</t>
  </si>
  <si>
    <t>http://246.swcb.gov.tw/event2015</t>
  </si>
  <si>
    <t>歷史災害, 照片, 土石流</t>
  </si>
  <si>
    <t>爬資料, 地圖, 視覺化處理</t>
  </si>
  <si>
    <t>SPIKES-ASIA</t>
  </si>
  <si>
    <t>SPIKES、松</t>
  </si>
  <si>
    <t>https://www.youtube.com/watch?v=2woIok8_Qsc</t>
  </si>
  <si>
    <t>雨蒼</t>
  </si>
  <si>
    <t>司法院Open data計畫</t>
  </si>
  <si>
    <t>https://g0v.hackpad.com/Open-Data-BHRG3oHic6r</t>
  </si>
  <si>
    <t>https://docs.google.com/presentation/d/1uggezcAaA4uhS6JNzqfngK0LSarKMhUUv8ZZrmMJqDE/pub?start=false&amp;loop=false&amp;delayms=3000</t>
  </si>
  <si>
    <t>司法、Opendata</t>
  </si>
  <si>
    <t>提供意見</t>
  </si>
  <si>
    <t xml:space="preserve">Lukas </t>
  </si>
  <si>
    <t>怦然心動的交通整頓魔法</t>
  </si>
  <si>
    <t>以後補  囧</t>
  </si>
  <si>
    <t>交通檢舉, 違規熱點, 自動化</t>
  </si>
  <si>
    <t>https://www.youtube.com/watch?v=p7n5ZqS2LEY</t>
  </si>
  <si>
    <t>本期開放4位8分鐘</t>
  </si>
  <si>
    <t>==== 截止 ====</t>
  </si>
  <si>
    <t>10/24 17:00【 present project】 規則：於106-7會議室舉行
每個 present 5min，可視 project 數量和剩餘時間調整</t>
  </si>
  <si>
    <t>G0V x 柏瑜 新政治小計劃</t>
  </si>
  <si>
    <t>https://hackpad.com/G0V-x--9wcGRFSjctY</t>
  </si>
  <si>
    <t>新政治 青年 分享</t>
  </si>
  <si>
    <t>17:05</t>
  </si>
  <si>
    <t>17:10</t>
  </si>
  <si>
    <t>yes</t>
  </si>
  <si>
    <t>救救臺灣龜</t>
  </si>
  <si>
    <t xml:space="preserve"> http://g0v.github.io/turtle-tw/</t>
  </si>
  <si>
    <t>食蛇龜、生態、修法</t>
  </si>
  <si>
    <t>17:15</t>
  </si>
  <si>
    <t>Chewei</t>
  </si>
  <si>
    <t>1.從地名看災害 Hazard x Placename
2.台灣社區報時間地圖 Local Zine and Alternative Publishing</t>
  </si>
  <si>
    <t>地名｜https://g0v.hackpad.com/-hazard-x-placename-4rF7N2Ihf5r
社區報｜https://g0v.hackpad.com/9f1Mxdr8hzR</t>
  </si>
  <si>
    <t xml:space="preserve">地名, 災害, 文獻材料
社區報, 地方刊物 </t>
  </si>
  <si>
    <t>災害史, 地名學, 資料庫
社區營造史, 社區報, 資料庫</t>
  </si>
  <si>
    <t>https://www.youtube.com/watch?v=ScLXIw1dsxI</t>
  </si>
  <si>
    <t xml:space="preserve">https://goo.gl/0dTDuv
</t>
  </si>
  <si>
    <t>17:20</t>
  </si>
  <si>
    <t>jackycute</t>
  </si>
  <si>
    <t>BigLaw 開放法律判決智慧搜尋系統</t>
  </si>
  <si>
    <t>BSD / CC BY 4.0</t>
  </si>
  <si>
    <t>https://hackmd.io/MYVgjATApgDARgMwLQTgQ2EgLAdimJOATgBMAOQgNiJhwQhhODJKAA==</t>
  </si>
  <si>
    <t>http://biglaw.tw</t>
  </si>
  <si>
    <t>法律, 裁判書, 搜尋</t>
  </si>
  <si>
    <t>https://www.youtube.com/watch?v=eLpyAH_-M2U</t>
  </si>
  <si>
    <t>https://hackmd.io/s/NkyjgG4We</t>
  </si>
  <si>
    <t>17:25</t>
  </si>
  <si>
    <t>17:30</t>
  </si>
  <si>
    <t>17:35</t>
  </si>
  <si>
    <t>17:40</t>
  </si>
  <si>
    <t xml:space="preserve"> ETblue</t>
  </si>
  <si>
    <t>g0v band</t>
  </si>
  <si>
    <t>CC BY / MPL</t>
  </si>
  <si>
    <t>https://g0v.hackpad.com/g0v-band-hackath16n-ksq5lc1w2AB</t>
  </si>
  <si>
    <t>https://blend.io/etblue/ocean</t>
  </si>
  <si>
    <t>打譜 / 團員</t>
  </si>
  <si>
    <t>17:45</t>
  </si>
  <si>
    <t>plate</t>
  </si>
  <si>
    <t>CC BY / MIT</t>
  </si>
  <si>
    <t>https://www.dropbox.com/s/idwzvdbq4b0l8ob/loopin.pptx?dl=0</t>
  </si>
  <si>
    <t>17:50</t>
  </si>
  <si>
    <t>https://www.youtube.com/watch?v=yCkrn5IQxFc</t>
  </si>
  <si>
    <t>17:55</t>
  </si>
  <si>
    <t>公務員開放資料Lesson1</t>
  </si>
  <si>
    <t>https://hackpad.com/Lesson-1-ver1.0-XdDvvmJJ6Zf</t>
  </si>
  <si>
    <t>https://www.youtube.com/watch?v=JIiRnbgpH70</t>
  </si>
  <si>
    <t>18:00</t>
  </si>
  <si>
    <t>Muyueh</t>
  </si>
  <si>
    <t>開放資料部會大PK</t>
  </si>
  <si>
    <t>gpl v2</t>
  </si>
  <si>
    <t>https://github.com/sheethub/webtable</t>
  </si>
  <si>
    <t>http://muyueh.com/30/webtable/stats.html</t>
  </si>
  <si>
    <t xml:space="preserve"> 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</si>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</sst>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H:mm"/>
  </numFmts>
  <fonts count="22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/>
    <font>
      <u/>
      <color rgb="FF0000FF"/>
    </font>
    <font>
      <sz val="10.0"/>
      <color rgb="FF000000"/>
    </font>
    <font>
      <sz val="10.0"/>
    </font>
    <font>
      <color rgb="FF0000FF"/>
    </font>
    <font>
      <u/>
      <sz val="10.0"/>
      <color rgb="FF0000FF"/>
    </font>
    <font>
      <u/>
      <color rgb="FF0000FF"/>
    </font>
    <font>
      <u/>
      <sz val="10.0"/>
      <color rgb="FF1155CC"/>
    </font>
    <font>
      <u/>
      <sz val="10.0"/>
      <color rgb="FF0000FF"/>
    </font>
    <font>
      <u/>
      <sz val="10.0"/>
      <color rgb="FF000000"/>
    </font>
    <font>
      <u/>
      <color rgb="FF0000FF"/>
    </font>
    <font>
      <u/>
      <color rgb="FF0000FF"/>
    </font>
    <font>
      <u/>
      <sz val="11.0"/>
      <color rgb="FF2B80B9"/>
    </font>
    <font>
      <sz val="14.0"/>
    </font>
    <font>
      <sz val="12.0"/>
    </font>
    <font>
      <sz val="6.0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5" fontId="9" numFmtId="0" xfId="0" applyAlignment="1" applyFill="1" applyFont="1">
      <alignment horizontal="left"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5" fontId="11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5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3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vertical="top" wrapText="1"/>
    </xf>
    <xf quotePrefix="1"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5" fontId="9" numFmtId="0" xfId="0" applyAlignment="1" applyFont="1">
      <alignment readingOrder="0" shrinkToFit="0" wrapText="1"/>
    </xf>
    <xf borderId="0" fillId="0" fontId="17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9" numFmtId="0" xfId="0" applyAlignment="1" applyFont="1">
      <alignment horizontal="center" readingOrder="0" shrinkToFit="0" wrapText="1"/>
    </xf>
    <xf borderId="0" fillId="6" fontId="6" numFmtId="0" xfId="0" applyAlignment="1" applyFont="1">
      <alignment horizontal="center" shrinkToFit="0" vertical="center" wrapText="1"/>
    </xf>
    <xf quotePrefix="1" borderId="0" fillId="6" fontId="9" numFmtId="0" xfId="0" applyAlignment="1" applyFont="1">
      <alignment horizontal="center" readingOrder="0" shrinkToFit="0" wrapText="1"/>
    </xf>
    <xf borderId="0" fillId="6" fontId="6" numFmtId="0" xfId="0" applyAlignment="1" applyFont="1">
      <alignment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7" fontId="6" numFmtId="0" xfId="0" applyAlignment="1" applyFill="1" applyFont="1">
      <alignment shrinkToFit="0" wrapText="1"/>
    </xf>
    <xf borderId="0" fillId="0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left" readingOrder="0" shrinkToFit="0" wrapText="1"/>
    </xf>
    <xf borderId="0" fillId="0" fontId="18" numFmtId="0" xfId="0" applyAlignment="1" applyFont="1">
      <alignment readingOrder="0" shrinkToFit="0" wrapText="1"/>
    </xf>
    <xf borderId="0" fillId="8" fontId="6" numFmtId="0" xfId="0" applyAlignment="1" applyFill="1" applyFont="1">
      <alignment shrinkToFit="0" vertical="center" wrapText="1"/>
    </xf>
    <xf borderId="0" fillId="8" fontId="6" numFmtId="0" xfId="0" applyAlignment="1" applyFont="1">
      <alignment horizontal="center"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shrinkToFit="0" wrapText="1"/>
    </xf>
    <xf borderId="3" fillId="0" fontId="21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g0v.tw/en-US/projects.html" TargetMode="External"/><Relationship Id="rId42" Type="http://schemas.openxmlformats.org/officeDocument/2006/relationships/hyperlink" Target="https://docs.google.com/document/d/1laNG-OWmxtkRNW0v_-CEspsHiD58Ih-CimmTh4ddiQg/edit" TargetMode="External"/><Relationship Id="rId41" Type="http://schemas.openxmlformats.org/officeDocument/2006/relationships/hyperlink" Target="https://www.youtube.com/watch?v=0G47anUlNeE" TargetMode="External"/><Relationship Id="rId44" Type="http://schemas.openxmlformats.org/officeDocument/2006/relationships/hyperlink" Target="https://www.youtube.com/watch?v=RhIAYOwd3ZM" TargetMode="External"/><Relationship Id="rId43" Type="http://schemas.openxmlformats.org/officeDocument/2006/relationships/hyperlink" Target="https://www.icloud.com/keynote/000AkAxYrDVK_D6fwpwoNbdxg" TargetMode="External"/><Relationship Id="rId46" Type="http://schemas.openxmlformats.org/officeDocument/2006/relationships/hyperlink" Target="https://www.youtube.com/watch?v=2woIok8_Qsc" TargetMode="External"/><Relationship Id="rId45" Type="http://schemas.openxmlformats.org/officeDocument/2006/relationships/hyperlink" Target="http://246.swcb.gov.tw/event2015" TargetMode="External"/><Relationship Id="rId1" Type="http://schemas.openxmlformats.org/officeDocument/2006/relationships/hyperlink" Target="https://www.youtube.com/playlist?list=PLdwQWxpS513DCtvJq7bmo8UIG9b-hx8Qf" TargetMode="External"/><Relationship Id="rId2" Type="http://schemas.openxmlformats.org/officeDocument/2006/relationships/hyperlink" Target="http://beta.hackfoldr.org/president2016-folder" TargetMode="External"/><Relationship Id="rId3" Type="http://schemas.openxmlformats.org/officeDocument/2006/relationships/hyperlink" Target="http://hacktabl.org/president2016" TargetMode="External"/><Relationship Id="rId4" Type="http://schemas.openxmlformats.org/officeDocument/2006/relationships/hyperlink" Target="http://www.slideshare.net/JohnsonLiang1/2016-g0v-hackath15n" TargetMode="External"/><Relationship Id="rId9" Type="http://schemas.openxmlformats.org/officeDocument/2006/relationships/hyperlink" Target="https://g0v.hackpad.com/Translate4you--j5b4i4DdTbX" TargetMode="External"/><Relationship Id="rId48" Type="http://schemas.openxmlformats.org/officeDocument/2006/relationships/hyperlink" Target="https://docs.google.com/presentation/d/1uggezcAaA4uhS6JNzqfngK0LSarKMhUUv8ZZrmMJqDE/pub?start=false&amp;loop=false&amp;delayms=3000" TargetMode="External"/><Relationship Id="rId47" Type="http://schemas.openxmlformats.org/officeDocument/2006/relationships/hyperlink" Target="https://g0v.hackpad.com/Open-Data-BHRG3oHic6r" TargetMode="External"/><Relationship Id="rId49" Type="http://schemas.openxmlformats.org/officeDocument/2006/relationships/hyperlink" Target="https://www.youtube.com/watch?v=p7n5ZqS2LEY" TargetMode="External"/><Relationship Id="rId5" Type="http://schemas.openxmlformats.org/officeDocument/2006/relationships/hyperlink" Target="http://hackfoldr.org/POPonFire" TargetMode="External"/><Relationship Id="rId6" Type="http://schemas.openxmlformats.org/officeDocument/2006/relationships/hyperlink" Target="http://land.shida.info/" TargetMode="External"/><Relationship Id="rId7" Type="http://schemas.openxmlformats.org/officeDocument/2006/relationships/hyperlink" Target="https://www.youtube.com/watch?v=wG6zkqn-wSI" TargetMode="External"/><Relationship Id="rId8" Type="http://schemas.openxmlformats.org/officeDocument/2006/relationships/hyperlink" Target="https://goo.gl/B1URIl" TargetMode="External"/><Relationship Id="rId31" Type="http://schemas.openxmlformats.org/officeDocument/2006/relationships/hyperlink" Target="https://g0v.hackpad.com/--BpW2Xt7s8AH" TargetMode="External"/><Relationship Id="rId30" Type="http://schemas.openxmlformats.org/officeDocument/2006/relationships/hyperlink" Target="https://docs.google.com/presentation/d/1Ph1177Z98t-mHYjaQ40h61qE-QkMmO0LTgf4caKC1f4/edit?usp=sharing" TargetMode="External"/><Relationship Id="rId33" Type="http://schemas.openxmlformats.org/officeDocument/2006/relationships/hyperlink" Target="https://www.youtube.com/watch?v=ViYCaskYF5Y" TargetMode="External"/><Relationship Id="rId32" Type="http://schemas.openxmlformats.org/officeDocument/2006/relationships/hyperlink" Target="https://github.com/g0v/urbancode-commission" TargetMode="External"/><Relationship Id="rId35" Type="http://schemas.openxmlformats.org/officeDocument/2006/relationships/hyperlink" Target="http://ckhis.ck.tp.edu.tw/~ljm/amis-mp/" TargetMode="External"/><Relationship Id="rId34" Type="http://schemas.openxmlformats.org/officeDocument/2006/relationships/hyperlink" Target="https://hackpad.com/WPLVA9cNxOc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g0v.hackpad.com/Sd7OkOgUSbH" TargetMode="External"/><Relationship Id="rId36" Type="http://schemas.openxmlformats.org/officeDocument/2006/relationships/hyperlink" Target="https://www.youtube.com/watch?v=Tl3a_Ny6XWs" TargetMode="External"/><Relationship Id="rId39" Type="http://schemas.openxmlformats.org/officeDocument/2006/relationships/hyperlink" Target="http://g0v.github.io/projectPool/" TargetMode="External"/><Relationship Id="rId38" Type="http://schemas.openxmlformats.org/officeDocument/2006/relationships/hyperlink" Target="https://www.dropbox.com/s/8ipjomxr6ig7c8y/2015_10_24%20%E5%8E%9F%E8%83%BD%E6%9C%83%E7%AE%A1%E5%88%B6%E4%BA%8B%E4%BB%B6%E6%99%82%E9%96%93%E8%BB%B8%E6%8F%90%E6%A1%88.pptx?dl=0" TargetMode="External"/><Relationship Id="rId62" Type="http://schemas.openxmlformats.org/officeDocument/2006/relationships/hyperlink" Target="https://blend.io/etblue/ocean" TargetMode="External"/><Relationship Id="rId61" Type="http://schemas.openxmlformats.org/officeDocument/2006/relationships/hyperlink" Target="https://g0v.hackpad.com/g0v-band-hackath16n-ksq5lc1w2AB" TargetMode="External"/><Relationship Id="rId20" Type="http://schemas.openxmlformats.org/officeDocument/2006/relationships/hyperlink" Target="https://www.youtube.com/watch?v=rJjV3Qhcd3g" TargetMode="External"/><Relationship Id="rId64" Type="http://schemas.openxmlformats.org/officeDocument/2006/relationships/hyperlink" Target="http://beta.hackfoldr.org/%E7%9C%BE%E5%BF%97%E6%88%90%E5%9F%8E/hackath16n-AhBaJJ6GX6V" TargetMode="External"/><Relationship Id="rId63" Type="http://schemas.openxmlformats.org/officeDocument/2006/relationships/hyperlink" Target="https://www.dropbox.com/s/idwzvdbq4b0l8ob/loopin.pptx?dl=0" TargetMode="External"/><Relationship Id="rId22" Type="http://schemas.openxmlformats.org/officeDocument/2006/relationships/hyperlink" Target="https://docs.google.com/presentation/d/1N6ofpoOKhPhOJsi9JrbF2rYSvRuRy4dOsQ3UcfvkABw/edit" TargetMode="External"/><Relationship Id="rId66" Type="http://schemas.openxmlformats.org/officeDocument/2006/relationships/hyperlink" Target="https://hackpad.com/Lesson-1-ver1.0-XdDvvmJJ6Zf" TargetMode="External"/><Relationship Id="rId21" Type="http://schemas.openxmlformats.org/officeDocument/2006/relationships/hyperlink" Target="https://g0v.hackpad.com/Iz4ydeSxlGH" TargetMode="External"/><Relationship Id="rId65" Type="http://schemas.openxmlformats.org/officeDocument/2006/relationships/hyperlink" Target="https://www.youtube.com/watch?v=yCkrn5IQxFc" TargetMode="External"/><Relationship Id="rId24" Type="http://schemas.openxmlformats.org/officeDocument/2006/relationships/hyperlink" Target="https://docs.google.com/presentation/d/1N6ofpoOKhPhOJsi9JrbF2rYSvRuRy4dOsQ3UcfvkABw/edit" TargetMode="External"/><Relationship Id="rId68" Type="http://schemas.openxmlformats.org/officeDocument/2006/relationships/hyperlink" Target="https://github.com/sheethub/webtable" TargetMode="External"/><Relationship Id="rId23" Type="http://schemas.openxmlformats.org/officeDocument/2006/relationships/hyperlink" Target="https://www.youtube.com/watch?v=JU2Inaru8wg" TargetMode="External"/><Relationship Id="rId67" Type="http://schemas.openxmlformats.org/officeDocument/2006/relationships/hyperlink" Target="https://www.youtube.com/watch?v=JIiRnbgpH70" TargetMode="External"/><Relationship Id="rId60" Type="http://schemas.openxmlformats.org/officeDocument/2006/relationships/hyperlink" Target="https://hackmd.io/s/NkyjgG4We" TargetMode="External"/><Relationship Id="rId26" Type="http://schemas.openxmlformats.org/officeDocument/2006/relationships/hyperlink" Target="http://g0v.github.io/agriculture/pesticide/usages/" TargetMode="External"/><Relationship Id="rId25" Type="http://schemas.openxmlformats.org/officeDocument/2006/relationships/hyperlink" Target="http://hackfoldr.org/agriculture/dz2qc0E8i0T" TargetMode="External"/><Relationship Id="rId69" Type="http://schemas.openxmlformats.org/officeDocument/2006/relationships/hyperlink" Target="http://muyueh.com/30/webtable/stats.html" TargetMode="External"/><Relationship Id="rId28" Type="http://schemas.openxmlformats.org/officeDocument/2006/relationships/hyperlink" Target="https://docs.google.com/presentation/d/1Ph1177Z98t-mHYjaQ40h61qE-QkMmO0LTgf4caKC1f4/edit" TargetMode="External"/><Relationship Id="rId27" Type="http://schemas.openxmlformats.org/officeDocument/2006/relationships/hyperlink" Target="https://hackpad.com/5ywvJjfdnZX" TargetMode="External"/><Relationship Id="rId29" Type="http://schemas.openxmlformats.org/officeDocument/2006/relationships/hyperlink" Target="https://www.youtube.com/watch?v=cKD4xdV5SUo" TargetMode="External"/><Relationship Id="rId51" Type="http://schemas.openxmlformats.org/officeDocument/2006/relationships/hyperlink" Target="https://hackpad.com/G0V-x--9wcGRFSjctY" TargetMode="External"/><Relationship Id="rId50" Type="http://schemas.openxmlformats.org/officeDocument/2006/relationships/hyperlink" Target="https://hackpad.com/G0V-x--9wcGRFSjctY" TargetMode="External"/><Relationship Id="rId53" Type="http://schemas.openxmlformats.org/officeDocument/2006/relationships/hyperlink" Target="http://hacktabl.org/president2016" TargetMode="External"/><Relationship Id="rId52" Type="http://schemas.openxmlformats.org/officeDocument/2006/relationships/hyperlink" Target="http://beta.hackfoldr.org/president2016-folder" TargetMode="External"/><Relationship Id="rId11" Type="http://schemas.openxmlformats.org/officeDocument/2006/relationships/hyperlink" Target="https://www.youtube.com/watch?v=NHoJdkeUXd0" TargetMode="External"/><Relationship Id="rId55" Type="http://schemas.openxmlformats.org/officeDocument/2006/relationships/hyperlink" Target="https://www.youtube.com/watch?v=ScLXIw1dsxI" TargetMode="External"/><Relationship Id="rId10" Type="http://schemas.openxmlformats.org/officeDocument/2006/relationships/hyperlink" Target="https://github.com/g0v/Translate4you" TargetMode="External"/><Relationship Id="rId54" Type="http://schemas.openxmlformats.org/officeDocument/2006/relationships/hyperlink" Target="http://g0v.github.io/turtle-tw/" TargetMode="External"/><Relationship Id="rId13" Type="http://schemas.openxmlformats.org/officeDocument/2006/relationships/hyperlink" Target="https://g0v.hackpad.com/agrisync--kCmdNxq7RUe" TargetMode="External"/><Relationship Id="rId57" Type="http://schemas.openxmlformats.org/officeDocument/2006/relationships/hyperlink" Target="https://hackmd.io/MYVgjATApgDARgMwLQTgQ2EgLAdimJOATgBMAOQgNiJhwQhhODJKAA==" TargetMode="External"/><Relationship Id="rId12" Type="http://schemas.openxmlformats.org/officeDocument/2006/relationships/hyperlink" Target="https://goo.gl/YIY1hh" TargetMode="External"/><Relationship Id="rId56" Type="http://schemas.openxmlformats.org/officeDocument/2006/relationships/hyperlink" Target="https://goo.gl/0dTDuv" TargetMode="External"/><Relationship Id="rId15" Type="http://schemas.openxmlformats.org/officeDocument/2006/relationships/hyperlink" Target="https://goo.gl/8ifIof" TargetMode="External"/><Relationship Id="rId59" Type="http://schemas.openxmlformats.org/officeDocument/2006/relationships/hyperlink" Target="https://www.youtube.com/watch?v=eLpyAH_-M2U" TargetMode="External"/><Relationship Id="rId14" Type="http://schemas.openxmlformats.org/officeDocument/2006/relationships/hyperlink" Target="https://goo.gl/xRa1rT" TargetMode="External"/><Relationship Id="rId58" Type="http://schemas.openxmlformats.org/officeDocument/2006/relationships/hyperlink" Target="http://biglaw.tw" TargetMode="External"/><Relationship Id="rId17" Type="http://schemas.openxmlformats.org/officeDocument/2006/relationships/hyperlink" Target="http://chihaoyo.github.io/0art/" TargetMode="External"/><Relationship Id="rId16" Type="http://schemas.openxmlformats.org/officeDocument/2006/relationships/hyperlink" Target="http://beta.hackfoldr.org/%E7%9C%BE%E5%BF%97%E6%88%90%E5%9F%8E/hackath16n-AhBaJJ6GX6V" TargetMode="External"/><Relationship Id="rId19" Type="http://schemas.openxmlformats.org/officeDocument/2006/relationships/hyperlink" Target="https://www.dropbox.com/s/sb7wy8y69qjanad/%E5%85%AC%E5%8B%99%E5%93%A1%E9%96%8B%E6%94%BE%E8%B3%87%E6%96%99Lesson%201.pptx?dl=0" TargetMode="External"/><Relationship Id="rId18" Type="http://schemas.openxmlformats.org/officeDocument/2006/relationships/hyperlink" Target="https://hackpad.com/Lesson-1-NNteOTb7Ft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25.13"/>
    <col customWidth="1" min="7" max="7" width="13.5"/>
    <col customWidth="1" min="8" max="8" width="29.5"/>
    <col customWidth="1" min="9" max="9" width="28.38"/>
    <col customWidth="1" min="10" max="10" width="23.63"/>
    <col customWidth="1" min="11" max="11" width="22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ht="15.0" customHeight="1">
      <c r="A3" s="7" t="s">
        <v>13</v>
      </c>
    </row>
    <row r="4" ht="15.0" customHeight="1">
      <c r="A4" s="8" t="s">
        <v>14</v>
      </c>
      <c r="D4" s="8"/>
      <c r="L4" s="8"/>
      <c r="M4" s="8"/>
      <c r="N4" s="8"/>
    </row>
    <row r="5" ht="15.0" hidden="1" customHeight="1">
      <c r="A5" s="9">
        <v>1.0</v>
      </c>
      <c r="B5" s="10">
        <v>0.4027777777777778</v>
      </c>
      <c r="C5" s="11"/>
      <c r="D5" s="9" t="s">
        <v>15</v>
      </c>
      <c r="E5" s="12"/>
      <c r="F5" s="13" t="s">
        <v>16</v>
      </c>
      <c r="G5" s="9"/>
      <c r="H5" s="14"/>
      <c r="I5" s="14"/>
      <c r="J5" s="9"/>
      <c r="K5" s="9"/>
      <c r="L5" s="9"/>
      <c r="M5" s="15"/>
      <c r="N5" s="9"/>
    </row>
    <row r="6" ht="15.0" hidden="1" customHeight="1">
      <c r="A6" s="16">
        <f t="shared" ref="A6:A23" si="1">A5+1</f>
        <v>2</v>
      </c>
      <c r="B6" s="17">
        <f t="shared" ref="B6:B23" si="2">B5+3/24/60</f>
        <v>0.4048611111</v>
      </c>
      <c r="C6" s="11"/>
      <c r="D6" s="9"/>
      <c r="E6" s="12"/>
      <c r="F6" s="9"/>
      <c r="G6" s="9"/>
      <c r="H6" s="9"/>
      <c r="I6" s="9"/>
      <c r="J6" s="9"/>
      <c r="K6" s="9"/>
      <c r="L6" s="9"/>
      <c r="N6" s="14"/>
    </row>
    <row r="7" ht="15.0" hidden="1" customHeight="1">
      <c r="A7" s="16">
        <f t="shared" si="1"/>
        <v>3</v>
      </c>
      <c r="B7" s="17">
        <f t="shared" si="2"/>
        <v>0.4069444444</v>
      </c>
      <c r="C7" s="11"/>
      <c r="D7" s="14"/>
      <c r="E7" s="12"/>
      <c r="F7" s="14"/>
      <c r="G7" s="14"/>
      <c r="H7" s="14"/>
      <c r="I7" s="14"/>
      <c r="J7" s="14"/>
      <c r="K7" s="9"/>
      <c r="L7" s="9"/>
      <c r="M7" s="15"/>
      <c r="N7" s="15"/>
    </row>
    <row r="8" ht="15.0" hidden="1" customHeight="1">
      <c r="A8" s="16">
        <f t="shared" si="1"/>
        <v>4</v>
      </c>
      <c r="B8" s="17">
        <f t="shared" si="2"/>
        <v>0.4090277778</v>
      </c>
      <c r="E8" s="12"/>
      <c r="F8" s="9"/>
      <c r="G8" s="9"/>
      <c r="I8" s="9"/>
      <c r="J8" s="9" t="s">
        <v>17</v>
      </c>
      <c r="K8" s="9" t="s">
        <v>18</v>
      </c>
      <c r="L8" s="9"/>
      <c r="M8" s="15"/>
      <c r="N8" s="9"/>
    </row>
    <row r="9" ht="15.0" hidden="1" customHeight="1">
      <c r="A9" s="16">
        <f t="shared" si="1"/>
        <v>5</v>
      </c>
      <c r="B9" s="17">
        <f t="shared" si="2"/>
        <v>0.4111111111</v>
      </c>
      <c r="E9" s="12"/>
      <c r="I9" s="9"/>
      <c r="J9" s="9"/>
      <c r="K9" s="9"/>
      <c r="L9" s="9"/>
      <c r="M9" s="15"/>
      <c r="N9" s="9"/>
    </row>
    <row r="10" ht="15.0" hidden="1" customHeight="1">
      <c r="A10" s="16">
        <f t="shared" si="1"/>
        <v>6</v>
      </c>
      <c r="B10" s="17">
        <f t="shared" si="2"/>
        <v>0.4131944444</v>
      </c>
      <c r="E10" s="12"/>
      <c r="I10" s="9"/>
      <c r="J10" s="9" t="s">
        <v>19</v>
      </c>
      <c r="K10" s="9" t="s">
        <v>20</v>
      </c>
      <c r="L10" s="9"/>
      <c r="M10" s="15"/>
      <c r="N10" s="9"/>
    </row>
    <row r="11" ht="15.0" customHeight="1">
      <c r="A11" s="16">
        <f t="shared" si="1"/>
        <v>7</v>
      </c>
      <c r="B11" s="17">
        <f t="shared" si="2"/>
        <v>0.4152777778</v>
      </c>
      <c r="C11" s="11" t="s">
        <v>21</v>
      </c>
      <c r="D11" s="9" t="s">
        <v>22</v>
      </c>
      <c r="E11" s="12" t="s">
        <v>23</v>
      </c>
      <c r="F11" s="18" t="s">
        <v>24</v>
      </c>
      <c r="G11" s="9"/>
      <c r="H11" s="9" t="s">
        <v>25</v>
      </c>
      <c r="I11" s="9"/>
      <c r="J11" s="9"/>
      <c r="K11" s="9"/>
      <c r="L11" s="9"/>
      <c r="M11" s="15"/>
      <c r="N11" s="9"/>
    </row>
    <row r="12" ht="15.0" customHeight="1">
      <c r="A12" s="16">
        <f t="shared" si="1"/>
        <v>8</v>
      </c>
      <c r="B12" s="17">
        <f t="shared" si="2"/>
        <v>0.4173611111</v>
      </c>
      <c r="C12" s="11" t="s">
        <v>21</v>
      </c>
      <c r="D12" s="9" t="s">
        <v>26</v>
      </c>
      <c r="E12" s="12" t="s">
        <v>23</v>
      </c>
      <c r="F12" s="9" t="s">
        <v>27</v>
      </c>
      <c r="G12" s="9" t="s">
        <v>28</v>
      </c>
      <c r="H12" s="9" t="s">
        <v>29</v>
      </c>
      <c r="I12" s="9"/>
      <c r="J12" s="9"/>
      <c r="K12" s="9"/>
      <c r="L12" s="9"/>
      <c r="M12" s="15"/>
      <c r="N12" s="19"/>
    </row>
    <row r="13" ht="15.0" customHeight="1">
      <c r="A13" s="16">
        <f t="shared" si="1"/>
        <v>9</v>
      </c>
      <c r="B13" s="17">
        <f t="shared" si="2"/>
        <v>0.4194444444</v>
      </c>
      <c r="C13" s="11" t="s">
        <v>21</v>
      </c>
      <c r="D13" s="9" t="s">
        <v>30</v>
      </c>
      <c r="E13" s="12" t="s">
        <v>31</v>
      </c>
      <c r="F13" s="9" t="s">
        <v>32</v>
      </c>
      <c r="G13" s="9" t="s">
        <v>33</v>
      </c>
      <c r="H13" s="13" t="s">
        <v>34</v>
      </c>
      <c r="I13" s="13" t="s">
        <v>35</v>
      </c>
      <c r="J13" s="9" t="s">
        <v>36</v>
      </c>
      <c r="K13" s="9" t="s">
        <v>37</v>
      </c>
      <c r="L13" s="9"/>
      <c r="M13" s="9"/>
      <c r="N13" s="13" t="s">
        <v>38</v>
      </c>
    </row>
    <row r="14" ht="15.0" customHeight="1">
      <c r="A14" s="16">
        <f t="shared" si="1"/>
        <v>10</v>
      </c>
      <c r="B14" s="17">
        <f t="shared" si="2"/>
        <v>0.4215277778</v>
      </c>
      <c r="C14" s="11" t="s">
        <v>21</v>
      </c>
      <c r="D14" s="9" t="s">
        <v>39</v>
      </c>
      <c r="E14" s="12" t="s">
        <v>31</v>
      </c>
      <c r="F14" s="9" t="s">
        <v>40</v>
      </c>
      <c r="G14" s="14" t="s">
        <v>41</v>
      </c>
      <c r="H14" s="20" t="s">
        <v>42</v>
      </c>
      <c r="I14" s="20" t="s">
        <v>43</v>
      </c>
      <c r="J14" s="9" t="s">
        <v>44</v>
      </c>
      <c r="K14" s="9" t="s">
        <v>45</v>
      </c>
      <c r="L14" s="13" t="s">
        <v>46</v>
      </c>
      <c r="M14" s="15"/>
      <c r="N14" s="13" t="s">
        <v>47</v>
      </c>
    </row>
    <row r="15" ht="15.0" customHeight="1">
      <c r="A15" s="16">
        <f t="shared" si="1"/>
        <v>11</v>
      </c>
      <c r="B15" s="17">
        <f t="shared" si="2"/>
        <v>0.4236111111</v>
      </c>
      <c r="C15" s="11" t="s">
        <v>21</v>
      </c>
      <c r="D15" s="9" t="s">
        <v>39</v>
      </c>
      <c r="E15" s="12" t="s">
        <v>31</v>
      </c>
      <c r="F15" s="9" t="s">
        <v>48</v>
      </c>
      <c r="G15" s="14" t="s">
        <v>49</v>
      </c>
      <c r="H15" s="13" t="s">
        <v>50</v>
      </c>
      <c r="I15" s="13" t="s">
        <v>51</v>
      </c>
      <c r="J15" s="9" t="s">
        <v>52</v>
      </c>
      <c r="K15" s="14" t="s">
        <v>53</v>
      </c>
      <c r="L15" s="13" t="s">
        <v>54</v>
      </c>
      <c r="M15" s="15"/>
      <c r="N15" s="20" t="s">
        <v>55</v>
      </c>
    </row>
    <row r="16" ht="15.0" customHeight="1">
      <c r="A16" s="16">
        <f t="shared" si="1"/>
        <v>12</v>
      </c>
      <c r="B16" s="17">
        <f t="shared" si="2"/>
        <v>0.4256944444</v>
      </c>
      <c r="C16" s="11" t="s">
        <v>21</v>
      </c>
      <c r="D16" s="16" t="s">
        <v>56</v>
      </c>
      <c r="E16" s="12" t="s">
        <v>31</v>
      </c>
      <c r="F16" s="16" t="s">
        <v>57</v>
      </c>
      <c r="G16" s="14" t="s">
        <v>41</v>
      </c>
      <c r="H16" s="21" t="s">
        <v>58</v>
      </c>
      <c r="I16" s="21" t="s">
        <v>59</v>
      </c>
      <c r="J16" s="9" t="s">
        <v>60</v>
      </c>
      <c r="K16" s="9" t="s">
        <v>61</v>
      </c>
      <c r="L16" s="9"/>
      <c r="M16" s="15"/>
      <c r="N16" s="13" t="s">
        <v>62</v>
      </c>
    </row>
    <row r="17" ht="15.0" customHeight="1">
      <c r="A17" s="16">
        <f t="shared" si="1"/>
        <v>13</v>
      </c>
      <c r="B17" s="17">
        <f t="shared" si="2"/>
        <v>0.4277777778</v>
      </c>
      <c r="C17" s="11" t="s">
        <v>21</v>
      </c>
      <c r="D17" s="14" t="s">
        <v>63</v>
      </c>
      <c r="E17" s="12"/>
      <c r="F17" s="14" t="s">
        <v>64</v>
      </c>
      <c r="G17" s="14"/>
      <c r="H17" s="14"/>
      <c r="I17" s="14"/>
      <c r="J17" s="14"/>
    </row>
    <row r="18" ht="15.0" customHeight="1">
      <c r="A18" s="16">
        <f t="shared" si="1"/>
        <v>14</v>
      </c>
      <c r="B18" s="17">
        <f t="shared" si="2"/>
        <v>0.4298611111</v>
      </c>
      <c r="C18" s="11" t="s">
        <v>21</v>
      </c>
      <c r="D18" s="9" t="s">
        <v>65</v>
      </c>
      <c r="E18" s="12" t="s">
        <v>31</v>
      </c>
      <c r="F18" s="9" t="s">
        <v>66</v>
      </c>
      <c r="G18" s="9" t="s">
        <v>41</v>
      </c>
      <c r="H18" s="22" t="s">
        <v>67</v>
      </c>
      <c r="I18" s="23" t="s">
        <v>68</v>
      </c>
      <c r="J18" s="9" t="s">
        <v>69</v>
      </c>
      <c r="K18" s="22" t="str">
        <f>HYPERLINK("http://beta.hackfoldr.org/%E7%9C%BE%E5%BF%97%E6%88%90%E5%9F%8E/nZz1gznpBmU","佈展人力 &amp; 顧攤的人")</f>
        <v>佈展人力 &amp; 顧攤的人</v>
      </c>
      <c r="L18" s="9"/>
      <c r="M18" s="15"/>
      <c r="N18" s="9"/>
    </row>
    <row r="19" ht="15.0" customHeight="1">
      <c r="A19" s="16">
        <f t="shared" si="1"/>
        <v>15</v>
      </c>
      <c r="B19" s="17">
        <f t="shared" si="2"/>
        <v>0.4319444444</v>
      </c>
      <c r="C19" s="11" t="s">
        <v>21</v>
      </c>
      <c r="D19" s="9" t="s">
        <v>70</v>
      </c>
      <c r="E19" s="12" t="s">
        <v>31</v>
      </c>
      <c r="F19" s="9" t="s">
        <v>71</v>
      </c>
      <c r="G19" s="14" t="s">
        <v>41</v>
      </c>
      <c r="H19" s="24" t="s">
        <v>72</v>
      </c>
      <c r="I19" s="24" t="s">
        <v>73</v>
      </c>
      <c r="J19" s="25" t="s">
        <v>74</v>
      </c>
      <c r="K19" s="9" t="s">
        <v>75</v>
      </c>
      <c r="L19" s="13" t="s">
        <v>76</v>
      </c>
      <c r="M19" s="15"/>
      <c r="N19" s="9"/>
    </row>
    <row r="20" ht="28.5" customHeight="1">
      <c r="A20" s="16">
        <f t="shared" si="1"/>
        <v>16</v>
      </c>
      <c r="B20" s="17">
        <f t="shared" si="2"/>
        <v>0.4340277778</v>
      </c>
      <c r="C20" s="11" t="s">
        <v>21</v>
      </c>
      <c r="D20" s="16" t="s">
        <v>77</v>
      </c>
      <c r="E20" s="12" t="s">
        <v>31</v>
      </c>
      <c r="F20" s="16" t="s">
        <v>78</v>
      </c>
      <c r="G20" s="9" t="s">
        <v>79</v>
      </c>
      <c r="H20" s="26" t="s">
        <v>80</v>
      </c>
      <c r="I20" s="26" t="s">
        <v>81</v>
      </c>
      <c r="J20" s="16" t="s">
        <v>82</v>
      </c>
      <c r="K20" s="9" t="s">
        <v>83</v>
      </c>
      <c r="L20" s="13" t="s">
        <v>84</v>
      </c>
      <c r="M20" s="15"/>
      <c r="N20" s="13" t="s">
        <v>81</v>
      </c>
    </row>
    <row r="21" ht="15.0" customHeight="1">
      <c r="A21" s="16">
        <f t="shared" si="1"/>
        <v>17</v>
      </c>
      <c r="B21" s="17">
        <f t="shared" si="2"/>
        <v>0.4361111111</v>
      </c>
      <c r="C21" s="11" t="s">
        <v>21</v>
      </c>
      <c r="D21" s="9" t="s">
        <v>85</v>
      </c>
      <c r="E21" s="12" t="s">
        <v>23</v>
      </c>
      <c r="F21" s="9" t="s">
        <v>86</v>
      </c>
      <c r="G21" s="9" t="s">
        <v>79</v>
      </c>
      <c r="H21" s="27" t="s">
        <v>87</v>
      </c>
      <c r="I21" s="27" t="s">
        <v>88</v>
      </c>
      <c r="J21" s="9" t="s">
        <v>89</v>
      </c>
      <c r="K21" s="14" t="s">
        <v>90</v>
      </c>
      <c r="L21" s="9"/>
      <c r="M21" s="15"/>
      <c r="N21" s="9"/>
    </row>
    <row r="22" ht="15.0" customHeight="1">
      <c r="A22" s="16">
        <f t="shared" si="1"/>
        <v>18</v>
      </c>
      <c r="B22" s="17">
        <f t="shared" si="2"/>
        <v>0.4381944444</v>
      </c>
      <c r="C22" s="11" t="s">
        <v>21</v>
      </c>
      <c r="D22" s="9" t="s">
        <v>91</v>
      </c>
      <c r="E22" s="12" t="s">
        <v>31</v>
      </c>
      <c r="F22" s="9" t="s">
        <v>92</v>
      </c>
      <c r="G22" s="9" t="s">
        <v>79</v>
      </c>
      <c r="H22" s="13" t="s">
        <v>93</v>
      </c>
      <c r="I22" s="13" t="s">
        <v>94</v>
      </c>
      <c r="J22" s="9" t="s">
        <v>95</v>
      </c>
      <c r="K22" s="9" t="s">
        <v>96</v>
      </c>
      <c r="L22" s="13" t="s">
        <v>97</v>
      </c>
      <c r="M22" s="15"/>
      <c r="N22" s="13" t="s">
        <v>98</v>
      </c>
    </row>
    <row r="23" ht="15.0" customHeight="1">
      <c r="A23" s="16">
        <f t="shared" si="1"/>
        <v>19</v>
      </c>
      <c r="B23" s="17">
        <f t="shared" si="2"/>
        <v>0.4402777778</v>
      </c>
      <c r="C23" s="11" t="s">
        <v>21</v>
      </c>
      <c r="D23" s="14" t="s">
        <v>99</v>
      </c>
      <c r="E23" s="28" t="s">
        <v>31</v>
      </c>
      <c r="F23" s="14" t="s">
        <v>100</v>
      </c>
      <c r="G23" s="14" t="s">
        <v>79</v>
      </c>
      <c r="H23" s="27" t="s">
        <v>101</v>
      </c>
      <c r="I23" s="27" t="s">
        <v>102</v>
      </c>
      <c r="J23" s="14" t="s">
        <v>103</v>
      </c>
      <c r="K23" s="14" t="s">
        <v>104</v>
      </c>
      <c r="L23" s="13" t="s">
        <v>105</v>
      </c>
      <c r="N23" s="14"/>
    </row>
    <row r="24" ht="15.0" customHeight="1">
      <c r="A24" s="14">
        <v>20.0</v>
      </c>
      <c r="B24" s="17">
        <v>0.4423611111111111</v>
      </c>
      <c r="C24" s="11" t="s">
        <v>21</v>
      </c>
      <c r="D24" s="18" t="s">
        <v>106</v>
      </c>
      <c r="E24" s="12"/>
      <c r="F24" s="9" t="s">
        <v>107</v>
      </c>
      <c r="G24" s="9" t="s">
        <v>108</v>
      </c>
      <c r="H24" s="13" t="s">
        <v>109</v>
      </c>
      <c r="I24" s="13" t="s">
        <v>110</v>
      </c>
      <c r="J24" s="29" t="s">
        <v>111</v>
      </c>
      <c r="K24" s="9" t="s">
        <v>112</v>
      </c>
      <c r="L24" s="13" t="s">
        <v>113</v>
      </c>
      <c r="M24" s="15"/>
      <c r="N24" s="9"/>
    </row>
    <row r="25" ht="15.0" customHeight="1">
      <c r="A25" s="14">
        <v>21.0</v>
      </c>
      <c r="B25" s="17">
        <v>0.4444444444444444</v>
      </c>
      <c r="C25" s="11" t="s">
        <v>21</v>
      </c>
      <c r="D25" s="18" t="s">
        <v>114</v>
      </c>
      <c r="E25" s="12" t="s">
        <v>23</v>
      </c>
      <c r="F25" s="9" t="s">
        <v>115</v>
      </c>
      <c r="G25" s="14" t="s">
        <v>41</v>
      </c>
      <c r="H25" s="13" t="s">
        <v>116</v>
      </c>
      <c r="I25" s="13" t="s">
        <v>117</v>
      </c>
      <c r="J25" s="9" t="s">
        <v>118</v>
      </c>
      <c r="K25" s="9" t="s">
        <v>119</v>
      </c>
      <c r="L25" s="9"/>
      <c r="M25" s="15"/>
      <c r="N25" s="9"/>
    </row>
    <row r="26" ht="15.0" customHeight="1">
      <c r="A26" s="9">
        <v>22.0</v>
      </c>
      <c r="B26" s="17">
        <v>0.4465277777777778</v>
      </c>
      <c r="C26" s="11" t="s">
        <v>21</v>
      </c>
      <c r="D26" s="9" t="s">
        <v>120</v>
      </c>
      <c r="E26" s="12" t="s">
        <v>31</v>
      </c>
      <c r="F26" s="9" t="s">
        <v>121</v>
      </c>
      <c r="G26" s="9" t="s">
        <v>122</v>
      </c>
      <c r="H26" s="13" t="s">
        <v>123</v>
      </c>
      <c r="I26" s="13" t="s">
        <v>124</v>
      </c>
      <c r="J26" s="9" t="s">
        <v>125</v>
      </c>
      <c r="K26" s="9" t="s">
        <v>96</v>
      </c>
      <c r="L26" s="13" t="s">
        <v>126</v>
      </c>
      <c r="M26" s="15"/>
      <c r="N26" s="15"/>
    </row>
    <row r="27" ht="15.0" customHeight="1">
      <c r="A27" s="9">
        <v>23.0</v>
      </c>
      <c r="B27" s="17">
        <v>0.4486111111111111</v>
      </c>
      <c r="C27" s="11" t="s">
        <v>21</v>
      </c>
      <c r="D27" s="9" t="s">
        <v>127</v>
      </c>
      <c r="E27" s="12" t="s">
        <v>31</v>
      </c>
      <c r="F27" s="9" t="s">
        <v>128</v>
      </c>
      <c r="G27" s="9" t="s">
        <v>122</v>
      </c>
      <c r="H27" s="13" t="s">
        <v>129</v>
      </c>
      <c r="I27" s="13" t="s">
        <v>130</v>
      </c>
      <c r="J27" s="9" t="s">
        <v>131</v>
      </c>
      <c r="K27" s="9" t="s">
        <v>132</v>
      </c>
      <c r="L27" s="13" t="s">
        <v>133</v>
      </c>
      <c r="M27" s="15"/>
      <c r="N27" s="15"/>
    </row>
    <row r="28" ht="15.0" customHeight="1">
      <c r="A28" s="9"/>
      <c r="B28" s="17"/>
      <c r="C28" s="11"/>
      <c r="D28" s="30" t="s">
        <v>134</v>
      </c>
      <c r="E28" s="12"/>
      <c r="F28" s="9"/>
      <c r="G28" s="9"/>
      <c r="H28" s="9"/>
      <c r="I28" s="9"/>
      <c r="J28" s="9"/>
      <c r="K28" s="9"/>
      <c r="L28" s="9"/>
      <c r="M28" s="15"/>
      <c r="N28" s="15"/>
    </row>
    <row r="29" ht="15.0" customHeight="1">
      <c r="A29" s="7" t="s">
        <v>135</v>
      </c>
    </row>
    <row r="30" ht="15.0" customHeight="1">
      <c r="A30" s="4" t="s">
        <v>136</v>
      </c>
      <c r="B30" s="4" t="s">
        <v>137</v>
      </c>
      <c r="C30" s="3" t="s">
        <v>1</v>
      </c>
      <c r="D30" s="4" t="s">
        <v>2</v>
      </c>
      <c r="E30" s="6" t="s">
        <v>138</v>
      </c>
      <c r="F30" s="4" t="s">
        <v>4</v>
      </c>
      <c r="G30" s="31"/>
      <c r="H30" s="4"/>
      <c r="I30" s="4" t="s">
        <v>139</v>
      </c>
      <c r="J30" s="4" t="s">
        <v>140</v>
      </c>
      <c r="K30" s="4" t="s">
        <v>141</v>
      </c>
      <c r="L30" s="31"/>
      <c r="M30" s="31"/>
      <c r="N30" s="31"/>
    </row>
    <row r="31" ht="15.0" customHeight="1">
      <c r="A31" s="32">
        <v>1.0</v>
      </c>
      <c r="B31" s="17">
        <v>0.6041666666666666</v>
      </c>
      <c r="C31" s="11" t="s">
        <v>21</v>
      </c>
      <c r="D31" s="18" t="s">
        <v>142</v>
      </c>
      <c r="E31" s="12" t="s">
        <v>31</v>
      </c>
      <c r="F31" s="18" t="s">
        <v>143</v>
      </c>
      <c r="G31" s="33" t="s">
        <v>41</v>
      </c>
      <c r="H31" s="18"/>
      <c r="I31" s="34" t="s">
        <v>144</v>
      </c>
      <c r="J31" s="18" t="s">
        <v>145</v>
      </c>
      <c r="K31" s="9" t="s">
        <v>146</v>
      </c>
      <c r="L31" s="18"/>
      <c r="M31" s="35"/>
      <c r="N31" s="35"/>
    </row>
    <row r="32" ht="15.0" customHeight="1">
      <c r="A32" s="32">
        <v>2.0</v>
      </c>
      <c r="B32" s="17">
        <v>0.6145833333333334</v>
      </c>
      <c r="C32" s="11" t="s">
        <v>21</v>
      </c>
      <c r="D32" s="18" t="s">
        <v>85</v>
      </c>
      <c r="E32" s="12" t="s">
        <v>23</v>
      </c>
      <c r="F32" s="18" t="s">
        <v>147</v>
      </c>
      <c r="G32" s="35"/>
      <c r="H32" s="36"/>
      <c r="I32" s="36"/>
      <c r="J32" s="9" t="s">
        <v>148</v>
      </c>
      <c r="K32" s="9"/>
      <c r="L32" s="34" t="s">
        <v>149</v>
      </c>
      <c r="M32" s="35"/>
      <c r="N32" s="18"/>
    </row>
    <row r="33" ht="15.0" customHeight="1">
      <c r="A33" s="32">
        <v>3.0</v>
      </c>
      <c r="B33" s="17">
        <v>0.6208333333333333</v>
      </c>
      <c r="C33" s="11" t="s">
        <v>21</v>
      </c>
      <c r="D33" s="14" t="s">
        <v>150</v>
      </c>
      <c r="E33" s="12" t="s">
        <v>31</v>
      </c>
      <c r="F33" s="14" t="s">
        <v>151</v>
      </c>
      <c r="G33" s="33" t="s">
        <v>41</v>
      </c>
      <c r="H33" s="27" t="s">
        <v>152</v>
      </c>
      <c r="I33" s="27" t="s">
        <v>153</v>
      </c>
      <c r="J33" s="14" t="s">
        <v>154</v>
      </c>
      <c r="K33" s="14" t="s">
        <v>155</v>
      </c>
      <c r="L33" s="14"/>
      <c r="N33" s="37"/>
    </row>
    <row r="34" ht="15.0" customHeight="1">
      <c r="A34" s="38">
        <v>4.0</v>
      </c>
      <c r="B34" s="17"/>
      <c r="C34" s="11" t="s">
        <v>21</v>
      </c>
      <c r="D34" s="14" t="s">
        <v>156</v>
      </c>
      <c r="E34" s="12" t="s">
        <v>31</v>
      </c>
      <c r="F34" s="9" t="s">
        <v>157</v>
      </c>
      <c r="G34" s="19"/>
      <c r="H34" s="9" t="s">
        <v>158</v>
      </c>
      <c r="I34" s="9"/>
      <c r="J34" s="9" t="s">
        <v>159</v>
      </c>
      <c r="K34" s="14" t="s">
        <v>155</v>
      </c>
      <c r="L34" s="13" t="s">
        <v>160</v>
      </c>
      <c r="M34" s="15"/>
      <c r="N34" s="15"/>
    </row>
    <row r="35" ht="15.0" customHeight="1">
      <c r="A35" s="39"/>
      <c r="B35" s="40" t="s">
        <v>161</v>
      </c>
      <c r="C35" s="41"/>
      <c r="D35" s="42" t="s">
        <v>162</v>
      </c>
      <c r="E35" s="41"/>
      <c r="F35" s="43"/>
      <c r="G35" s="39"/>
      <c r="H35" s="39"/>
      <c r="I35" s="39"/>
      <c r="J35" s="39"/>
      <c r="K35" s="39"/>
      <c r="L35" s="43"/>
      <c r="M35" s="39"/>
      <c r="N35" s="39"/>
    </row>
    <row r="36" ht="15.0" customHeight="1">
      <c r="A36" s="39"/>
      <c r="B36" s="44"/>
      <c r="C36" s="41"/>
      <c r="D36" s="45"/>
      <c r="E36" s="41"/>
      <c r="F36" s="39"/>
      <c r="G36" s="39"/>
      <c r="H36" s="39"/>
      <c r="I36" s="39"/>
      <c r="J36" s="39"/>
      <c r="K36" s="39"/>
      <c r="L36" s="39"/>
      <c r="M36" s="39"/>
      <c r="N36" s="39"/>
    </row>
    <row r="37" ht="15.0" customHeight="1">
      <c r="A37" s="15"/>
      <c r="B37" s="46"/>
      <c r="C37" s="46"/>
      <c r="D37" s="15"/>
      <c r="E37" s="47"/>
      <c r="F37" s="15"/>
      <c r="G37" s="15"/>
      <c r="H37" s="15"/>
      <c r="I37" s="15"/>
      <c r="J37" s="15"/>
      <c r="K37" s="15"/>
      <c r="L37" s="15"/>
      <c r="M37" s="15"/>
      <c r="N37" s="15"/>
    </row>
    <row r="38" ht="15.0" customHeight="1">
      <c r="A38" s="15"/>
      <c r="B38" s="46"/>
      <c r="C38" s="46"/>
      <c r="E38" s="47"/>
      <c r="F38" s="15"/>
      <c r="G38" s="15"/>
      <c r="H38" s="15"/>
      <c r="I38" s="15"/>
      <c r="J38" s="15"/>
      <c r="K38" s="15"/>
      <c r="L38" s="15"/>
      <c r="M38" s="15"/>
      <c r="N38" s="15"/>
    </row>
    <row r="39" ht="15.0" customHeight="1">
      <c r="A39" s="15"/>
      <c r="B39" s="46"/>
      <c r="C39" s="46"/>
      <c r="D39" s="15"/>
      <c r="E39" s="47"/>
      <c r="F39" s="15"/>
      <c r="G39" s="15"/>
      <c r="H39" s="15"/>
      <c r="I39" s="15"/>
      <c r="J39" s="15"/>
      <c r="K39" s="15"/>
      <c r="L39" s="15"/>
      <c r="M39" s="15"/>
      <c r="N39" s="15"/>
    </row>
    <row r="40" ht="15.0" customHeight="1">
      <c r="A40" s="15"/>
      <c r="B40" s="46"/>
      <c r="C40" s="46"/>
      <c r="D40" s="15"/>
      <c r="E40" s="47"/>
      <c r="F40" s="15"/>
      <c r="G40" s="15"/>
      <c r="H40" s="15"/>
      <c r="I40" s="15"/>
      <c r="J40" s="15"/>
      <c r="K40" s="15"/>
      <c r="L40" s="15"/>
      <c r="M40" s="15"/>
      <c r="N40" s="15"/>
    </row>
    <row r="41" ht="15.0" customHeight="1">
      <c r="A41" s="7" t="s">
        <v>163</v>
      </c>
    </row>
    <row r="42" ht="15.0" customHeight="1">
      <c r="A42" s="38">
        <v>1.0</v>
      </c>
      <c r="B42" s="48">
        <v>0.7083333333333334</v>
      </c>
      <c r="C42" s="11" t="s">
        <v>21</v>
      </c>
      <c r="D42" s="9" t="s">
        <v>91</v>
      </c>
      <c r="E42" s="12" t="s">
        <v>31</v>
      </c>
      <c r="F42" s="9" t="s">
        <v>164</v>
      </c>
      <c r="G42" s="9" t="s">
        <v>41</v>
      </c>
      <c r="H42" s="22" t="s">
        <v>165</v>
      </c>
      <c r="I42" s="22" t="s">
        <v>165</v>
      </c>
      <c r="J42" s="9" t="s">
        <v>166</v>
      </c>
      <c r="K42" s="9"/>
      <c r="L42" s="9"/>
      <c r="M42" s="15"/>
      <c r="N42" s="9"/>
    </row>
    <row r="43" ht="15.0" customHeight="1">
      <c r="A43" s="38">
        <v>2.0</v>
      </c>
      <c r="B43" s="49" t="s">
        <v>167</v>
      </c>
      <c r="C43" s="11" t="s">
        <v>21</v>
      </c>
      <c r="D43" s="9" t="s">
        <v>30</v>
      </c>
      <c r="E43" s="12" t="s">
        <v>31</v>
      </c>
      <c r="F43" s="9" t="s">
        <v>32</v>
      </c>
      <c r="G43" s="9" t="s">
        <v>33</v>
      </c>
      <c r="H43" s="13" t="s">
        <v>34</v>
      </c>
      <c r="I43" s="13" t="s">
        <v>35</v>
      </c>
      <c r="J43" s="9" t="s">
        <v>36</v>
      </c>
      <c r="K43" s="9" t="s">
        <v>37</v>
      </c>
      <c r="L43" s="9"/>
      <c r="M43" s="15"/>
      <c r="N43" s="9"/>
    </row>
    <row r="44" ht="15.0" customHeight="1">
      <c r="A44" s="38">
        <v>3.0</v>
      </c>
      <c r="B44" s="49" t="s">
        <v>168</v>
      </c>
      <c r="C44" s="11" t="s">
        <v>21</v>
      </c>
      <c r="D44" s="9" t="s">
        <v>26</v>
      </c>
      <c r="E44" s="12" t="s">
        <v>169</v>
      </c>
      <c r="F44" s="9" t="s">
        <v>170</v>
      </c>
      <c r="G44" s="9" t="s">
        <v>28</v>
      </c>
      <c r="H44" s="19" t="s">
        <v>29</v>
      </c>
      <c r="I44" s="21" t="s">
        <v>171</v>
      </c>
      <c r="J44" s="9" t="s">
        <v>172</v>
      </c>
      <c r="K44" s="9"/>
      <c r="L44" s="9"/>
      <c r="M44" s="15"/>
      <c r="N44" s="15"/>
    </row>
    <row r="45" ht="15.0" customHeight="1">
      <c r="A45" s="38">
        <v>4.0</v>
      </c>
      <c r="B45" s="49" t="s">
        <v>173</v>
      </c>
      <c r="C45" s="11" t="s">
        <v>21</v>
      </c>
      <c r="D45" s="9" t="s">
        <v>174</v>
      </c>
      <c r="E45" s="12" t="s">
        <v>169</v>
      </c>
      <c r="F45" s="16" t="s">
        <v>175</v>
      </c>
      <c r="G45" s="33" t="s">
        <v>41</v>
      </c>
      <c r="H45" s="50" t="s">
        <v>176</v>
      </c>
      <c r="I45" s="19"/>
      <c r="J45" s="9" t="s">
        <v>177</v>
      </c>
      <c r="K45" s="9" t="s">
        <v>178</v>
      </c>
      <c r="L45" s="9"/>
      <c r="M45" s="13" t="s">
        <v>179</v>
      </c>
      <c r="N45" s="13" t="s">
        <v>180</v>
      </c>
    </row>
    <row r="46" ht="15.0" customHeight="1">
      <c r="A46" s="38">
        <v>5.0</v>
      </c>
      <c r="B46" s="49" t="s">
        <v>181</v>
      </c>
      <c r="C46" s="11" t="s">
        <v>21</v>
      </c>
      <c r="D46" s="9" t="s">
        <v>182</v>
      </c>
      <c r="E46" s="12" t="s">
        <v>169</v>
      </c>
      <c r="F46" s="9" t="s">
        <v>183</v>
      </c>
      <c r="G46" s="9" t="s">
        <v>184</v>
      </c>
      <c r="H46" s="13" t="s">
        <v>185</v>
      </c>
      <c r="I46" s="13" t="s">
        <v>186</v>
      </c>
      <c r="J46" s="9" t="s">
        <v>187</v>
      </c>
      <c r="K46" s="15"/>
      <c r="L46" s="9"/>
      <c r="M46" s="13" t="s">
        <v>188</v>
      </c>
      <c r="N46" s="13" t="s">
        <v>189</v>
      </c>
    </row>
    <row r="47" ht="15.0" customHeight="1">
      <c r="A47" s="38">
        <v>6.0</v>
      </c>
      <c r="B47" s="49" t="s">
        <v>190</v>
      </c>
      <c r="C47" s="11"/>
      <c r="E47" s="12"/>
      <c r="L47" s="9"/>
      <c r="M47" s="15"/>
      <c r="N47" s="15"/>
    </row>
    <row r="48" ht="15.0" customHeight="1">
      <c r="A48" s="38">
        <v>7.0</v>
      </c>
      <c r="B48" s="49" t="s">
        <v>191</v>
      </c>
      <c r="C48" s="11"/>
      <c r="D48" s="9"/>
      <c r="E48" s="12"/>
      <c r="F48" s="9"/>
      <c r="G48" s="9"/>
      <c r="H48" s="9"/>
      <c r="I48" s="9"/>
      <c r="J48" s="14"/>
      <c r="K48" s="9"/>
      <c r="L48" s="9"/>
      <c r="M48" s="15"/>
      <c r="N48" s="15"/>
    </row>
    <row r="49" ht="15.0" customHeight="1">
      <c r="A49" s="38">
        <v>8.0</v>
      </c>
      <c r="B49" s="49" t="s">
        <v>192</v>
      </c>
      <c r="C49" s="11"/>
      <c r="D49" s="14"/>
      <c r="E49" s="12"/>
      <c r="F49" s="9"/>
      <c r="G49" s="9"/>
      <c r="H49" s="9"/>
      <c r="I49" s="9"/>
      <c r="J49" s="9"/>
      <c r="K49" s="9"/>
      <c r="L49" s="9"/>
      <c r="M49" s="15"/>
      <c r="N49" s="15"/>
    </row>
    <row r="50" ht="15.0" customHeight="1">
      <c r="A50" s="38">
        <v>9.0</v>
      </c>
      <c r="B50" s="49" t="s">
        <v>193</v>
      </c>
      <c r="C50" s="11" t="s">
        <v>21</v>
      </c>
      <c r="D50" s="9" t="s">
        <v>194</v>
      </c>
      <c r="E50" s="12" t="s">
        <v>169</v>
      </c>
      <c r="F50" s="9" t="s">
        <v>195</v>
      </c>
      <c r="G50" s="9" t="s">
        <v>196</v>
      </c>
      <c r="H50" s="27" t="s">
        <v>197</v>
      </c>
      <c r="I50" s="27" t="s">
        <v>198</v>
      </c>
      <c r="J50" s="9"/>
      <c r="K50" s="9" t="s">
        <v>199</v>
      </c>
      <c r="L50" s="9"/>
      <c r="M50" s="15"/>
      <c r="N50" s="9"/>
    </row>
    <row r="51" ht="15.0" customHeight="1">
      <c r="A51" s="38">
        <v>10.0</v>
      </c>
      <c r="B51" s="49" t="s">
        <v>200</v>
      </c>
      <c r="C51" s="11" t="s">
        <v>21</v>
      </c>
      <c r="D51" s="14" t="s">
        <v>201</v>
      </c>
      <c r="E51" s="12" t="s">
        <v>169</v>
      </c>
      <c r="F51" s="18" t="s">
        <v>78</v>
      </c>
      <c r="G51" s="9" t="s">
        <v>202</v>
      </c>
      <c r="H51" s="9"/>
      <c r="I51" s="51" t="s">
        <v>203</v>
      </c>
      <c r="J51" s="15"/>
      <c r="K51" s="15"/>
      <c r="L51" s="15"/>
      <c r="M51" s="15"/>
      <c r="N51" s="15"/>
    </row>
    <row r="52" ht="15.0" customHeight="1">
      <c r="A52" s="38">
        <v>11.0</v>
      </c>
      <c r="B52" s="49" t="s">
        <v>204</v>
      </c>
      <c r="C52" s="11" t="s">
        <v>21</v>
      </c>
      <c r="D52" s="9" t="s">
        <v>65</v>
      </c>
      <c r="E52" s="12" t="s">
        <v>169</v>
      </c>
      <c r="F52" s="19" t="s">
        <v>66</v>
      </c>
      <c r="G52" s="33" t="s">
        <v>41</v>
      </c>
      <c r="H52" s="22" t="s">
        <v>67</v>
      </c>
      <c r="I52" s="9"/>
      <c r="J52" s="9"/>
      <c r="K52" s="15"/>
      <c r="L52" s="9"/>
      <c r="M52" s="13" t="s">
        <v>205</v>
      </c>
      <c r="N52" s="15"/>
    </row>
    <row r="53" ht="15.0" customHeight="1">
      <c r="A53" s="38">
        <v>12.0</v>
      </c>
      <c r="B53" s="49" t="s">
        <v>206</v>
      </c>
      <c r="C53" s="11"/>
      <c r="D53" s="9" t="s">
        <v>70</v>
      </c>
      <c r="E53" s="12" t="s">
        <v>169</v>
      </c>
      <c r="F53" s="9" t="s">
        <v>207</v>
      </c>
      <c r="G53" s="33" t="s">
        <v>41</v>
      </c>
      <c r="H53" s="13" t="s">
        <v>208</v>
      </c>
      <c r="I53" s="9"/>
      <c r="J53" s="14"/>
      <c r="K53" s="9"/>
      <c r="L53" s="9"/>
      <c r="M53" s="13" t="s">
        <v>209</v>
      </c>
      <c r="N53" s="15"/>
    </row>
    <row r="54" ht="15.0" customHeight="1">
      <c r="A54" s="38">
        <v>13.0</v>
      </c>
      <c r="B54" s="49" t="s">
        <v>210</v>
      </c>
      <c r="C54" s="46"/>
      <c r="D54" s="9" t="s">
        <v>211</v>
      </c>
      <c r="E54" s="12" t="s">
        <v>169</v>
      </c>
      <c r="F54" s="9" t="s">
        <v>212</v>
      </c>
      <c r="G54" s="33" t="s">
        <v>213</v>
      </c>
      <c r="H54" s="27" t="s">
        <v>214</v>
      </c>
      <c r="I54" s="13" t="s">
        <v>215</v>
      </c>
      <c r="J54" s="9"/>
      <c r="K54" s="9"/>
      <c r="L54" s="9"/>
      <c r="M54" s="15"/>
      <c r="N54" s="15"/>
    </row>
    <row r="55" ht="15.0" customHeight="1">
      <c r="A55" s="52"/>
      <c r="B55" s="53"/>
      <c r="C55" s="53"/>
      <c r="D55" s="54" t="s">
        <v>216</v>
      </c>
      <c r="E55" s="52"/>
      <c r="F55" s="52"/>
      <c r="G55" s="52"/>
      <c r="H55" s="52"/>
      <c r="I55" s="52"/>
      <c r="J55" s="52"/>
      <c r="K55" s="52"/>
      <c r="L55" s="52"/>
      <c r="M55" s="52"/>
      <c r="N55" s="52"/>
    </row>
  </sheetData>
  <mergeCells count="6">
    <mergeCell ref="A1:K1"/>
    <mergeCell ref="A3:N3"/>
    <mergeCell ref="A4:C4"/>
    <mergeCell ref="D4:K4"/>
    <mergeCell ref="A29:N29"/>
    <mergeCell ref="A41:N41"/>
  </mergeCells>
  <hyperlinks>
    <hyperlink r:id="rId1" ref="F5"/>
    <hyperlink r:id="rId2" ref="H13"/>
    <hyperlink r:id="rId3" ref="I13"/>
    <hyperlink r:id="rId4" ref="N13"/>
    <hyperlink r:id="rId5" ref="H14"/>
    <hyperlink r:id="rId6" ref="I14"/>
    <hyperlink r:id="rId7" ref="L14"/>
    <hyperlink r:id="rId8" ref="N14"/>
    <hyperlink r:id="rId9" ref="H15"/>
    <hyperlink r:id="rId10" ref="I15"/>
    <hyperlink r:id="rId11" ref="L15"/>
    <hyperlink r:id="rId12" ref="N15"/>
    <hyperlink r:id="rId13" ref="H16"/>
    <hyperlink r:id="rId14" ref="I16"/>
    <hyperlink r:id="rId15" ref="N16"/>
    <hyperlink r:id="rId16" ref="H18"/>
    <hyperlink r:id="rId17" ref="I18"/>
    <hyperlink r:id="rId18" ref="H19"/>
    <hyperlink r:id="rId19" ref="I19"/>
    <hyperlink r:id="rId20" ref="L19"/>
    <hyperlink r:id="rId21" ref="H20"/>
    <hyperlink r:id="rId22" location="slide=id.gd0980cc7c_1_0" ref="I20"/>
    <hyperlink r:id="rId23" ref="L20"/>
    <hyperlink r:id="rId24" location="slide=id.gd0980cc7c_1_0" ref="N20"/>
    <hyperlink r:id="rId25" ref="H21"/>
    <hyperlink r:id="rId26" ref="I21"/>
    <hyperlink r:id="rId27" ref="H22"/>
    <hyperlink r:id="rId28" location="slide=id.p" ref="I22"/>
    <hyperlink r:id="rId29" ref="L22"/>
    <hyperlink r:id="rId30" ref="N22"/>
    <hyperlink r:id="rId31" ref="H23"/>
    <hyperlink r:id="rId32" ref="I23"/>
    <hyperlink r:id="rId33" ref="L23"/>
    <hyperlink r:id="rId34" ref="H24"/>
    <hyperlink r:id="rId35" ref="I24"/>
    <hyperlink r:id="rId36" ref="L24"/>
    <hyperlink r:id="rId37" ref="H25"/>
    <hyperlink r:id="rId38" ref="I25"/>
    <hyperlink r:id="rId39" ref="H26"/>
    <hyperlink r:id="rId40" ref="I26"/>
    <hyperlink r:id="rId41" ref="L26"/>
    <hyperlink r:id="rId42" ref="H27"/>
    <hyperlink r:id="rId43" location="g0v" ref="I27"/>
    <hyperlink r:id="rId44" ref="L27"/>
    <hyperlink r:id="rId45" ref="I31"/>
    <hyperlink r:id="rId46" ref="L32"/>
    <hyperlink r:id="rId47" ref="H33"/>
    <hyperlink r:id="rId48" ref="I33"/>
    <hyperlink r:id="rId49" ref="L34"/>
    <hyperlink r:id="rId50" ref="H42"/>
    <hyperlink r:id="rId51" ref="I42"/>
    <hyperlink r:id="rId52" ref="H43"/>
    <hyperlink r:id="rId53" ref="I43"/>
    <hyperlink r:id="rId54" ref="I44"/>
    <hyperlink r:id="rId55" ref="M45"/>
    <hyperlink r:id="rId56" ref="N45"/>
    <hyperlink r:id="rId57" ref="H46"/>
    <hyperlink r:id="rId58" ref="I46"/>
    <hyperlink r:id="rId59" ref="M46"/>
    <hyperlink r:id="rId60" ref="N46"/>
    <hyperlink r:id="rId61" ref="H50"/>
    <hyperlink r:id="rId62" ref="I50"/>
    <hyperlink r:id="rId63" ref="I51"/>
    <hyperlink r:id="rId64" ref="H52"/>
    <hyperlink r:id="rId65" ref="M52"/>
    <hyperlink r:id="rId66" ref="H53"/>
    <hyperlink r:id="rId67" ref="M53"/>
    <hyperlink r:id="rId68" ref="H54"/>
    <hyperlink r:id="rId69" ref="I54"/>
  </hyperlinks>
  <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55">
        <v>107.0</v>
      </c>
      <c r="J1" s="55">
        <v>101.0</v>
      </c>
      <c r="Q1" s="56">
        <v>108.0</v>
      </c>
    </row>
    <row r="2" ht="39.0" customHeight="1">
      <c r="A2" s="46"/>
      <c r="B2" s="57" t="s">
        <v>217</v>
      </c>
      <c r="C2" s="58"/>
      <c r="D2" s="58"/>
      <c r="E2" s="58"/>
      <c r="F2" s="58"/>
      <c r="G2" s="59"/>
      <c r="H2" s="46"/>
      <c r="I2" s="46"/>
      <c r="J2" s="60" t="s">
        <v>218</v>
      </c>
      <c r="K2" s="58"/>
      <c r="L2" s="58"/>
      <c r="M2" s="58"/>
      <c r="N2" s="58"/>
      <c r="O2" s="46"/>
      <c r="P2" s="46"/>
      <c r="Q2" s="61" t="s">
        <v>219</v>
      </c>
      <c r="R2" s="46"/>
      <c r="S2" s="61" t="s">
        <v>218</v>
      </c>
      <c r="V2" s="46"/>
    </row>
    <row r="3" ht="39.0" customHeight="1">
      <c r="A3" s="62"/>
      <c r="B3" s="63"/>
      <c r="C3" s="63"/>
      <c r="D3" s="63"/>
      <c r="E3" s="63"/>
      <c r="F3" s="63"/>
      <c r="G3" s="64"/>
      <c r="H3" s="65"/>
      <c r="I3" s="62"/>
      <c r="J3" s="63"/>
      <c r="K3" s="66"/>
      <c r="M3" s="66"/>
      <c r="N3" s="63"/>
      <c r="O3" s="65"/>
      <c r="P3" s="46"/>
      <c r="Q3" s="63"/>
      <c r="R3" s="63"/>
      <c r="S3" s="63"/>
      <c r="T3" s="63"/>
      <c r="U3" s="63"/>
      <c r="V3" s="46"/>
    </row>
    <row r="4" ht="39.0" customHeight="1">
      <c r="A4" s="62"/>
      <c r="B4" s="63"/>
      <c r="C4" s="63"/>
      <c r="D4" s="63"/>
      <c r="E4" s="63"/>
      <c r="F4" s="63"/>
      <c r="G4" s="67" t="s">
        <v>220</v>
      </c>
      <c r="H4" s="65"/>
      <c r="I4" s="62"/>
      <c r="J4" s="63"/>
      <c r="K4" s="63"/>
      <c r="L4" s="66"/>
      <c r="M4" s="68"/>
      <c r="N4" s="63"/>
      <c r="O4" s="65"/>
      <c r="P4" s="46"/>
      <c r="Q4" s="63"/>
      <c r="R4" s="63"/>
      <c r="S4" s="66"/>
      <c r="T4" s="68"/>
      <c r="U4" s="66"/>
      <c r="V4" s="46"/>
    </row>
    <row r="5" ht="39.0" customHeight="1">
      <c r="A5" s="62"/>
      <c r="B5" s="63"/>
      <c r="C5" s="63"/>
      <c r="D5" s="63"/>
      <c r="E5" s="63"/>
      <c r="F5" s="63"/>
      <c r="G5" s="63"/>
      <c r="H5" s="65"/>
      <c r="I5" s="62"/>
      <c r="J5" s="63"/>
      <c r="K5" s="63"/>
      <c r="L5" s="66"/>
      <c r="M5" s="63"/>
      <c r="N5" s="66"/>
      <c r="O5" s="65"/>
      <c r="P5" s="46"/>
      <c r="Q5" s="63"/>
      <c r="R5" s="63"/>
      <c r="S5" s="66"/>
      <c r="T5" s="63"/>
      <c r="U5" s="63"/>
      <c r="V5" s="46"/>
    </row>
    <row r="6" ht="39.0" customHeight="1">
      <c r="A6" s="62"/>
      <c r="B6" s="63"/>
      <c r="C6" s="63"/>
      <c r="D6" s="63"/>
      <c r="E6" s="68"/>
      <c r="F6" s="63"/>
      <c r="G6" s="64"/>
      <c r="H6" s="65"/>
      <c r="I6" s="62"/>
      <c r="J6" s="63"/>
      <c r="K6" s="63"/>
      <c r="L6" s="66"/>
      <c r="M6" s="63"/>
      <c r="N6" s="63"/>
      <c r="O6" s="65"/>
      <c r="P6" s="46"/>
      <c r="Q6" s="63"/>
      <c r="R6" s="63"/>
      <c r="S6" s="66"/>
      <c r="T6" s="63"/>
      <c r="U6" s="63"/>
      <c r="V6" s="46"/>
    </row>
    <row r="7" ht="39.0" customHeight="1">
      <c r="A7" s="62"/>
      <c r="B7" s="63"/>
      <c r="C7" s="69"/>
      <c r="D7" s="63"/>
      <c r="E7" s="63"/>
      <c r="F7" s="63"/>
      <c r="G7" s="67" t="s">
        <v>219</v>
      </c>
      <c r="H7" s="65"/>
      <c r="I7" s="62"/>
      <c r="J7" s="63"/>
      <c r="K7" s="63"/>
      <c r="L7" s="66"/>
      <c r="M7" s="63"/>
      <c r="N7" s="63"/>
      <c r="O7" s="65"/>
      <c r="P7" s="46"/>
      <c r="Q7" s="63"/>
      <c r="R7" s="63"/>
      <c r="S7" s="66"/>
      <c r="T7" s="63"/>
      <c r="U7" s="63"/>
      <c r="V7" s="46"/>
    </row>
    <row r="8" ht="39.0" customHeight="1">
      <c r="A8" s="62"/>
      <c r="B8" s="63"/>
      <c r="C8" s="70"/>
      <c r="D8" s="63"/>
      <c r="E8" s="63"/>
      <c r="F8" s="63"/>
      <c r="G8" s="63"/>
      <c r="H8" s="71"/>
      <c r="I8" s="72" t="s">
        <v>219</v>
      </c>
      <c r="J8" s="63"/>
      <c r="K8" s="63"/>
      <c r="L8" s="66"/>
      <c r="M8" s="63"/>
      <c r="N8" s="63"/>
      <c r="O8" s="65"/>
      <c r="P8" s="46"/>
      <c r="Q8" s="63"/>
      <c r="R8" s="63"/>
      <c r="S8" s="68"/>
      <c r="T8" s="63"/>
      <c r="U8" s="63"/>
      <c r="V8" s="46"/>
    </row>
    <row r="9" ht="39.0" customHeight="1">
      <c r="A9" s="62"/>
      <c r="B9" s="63"/>
      <c r="C9" s="63"/>
      <c r="D9" s="63"/>
      <c r="E9" s="63"/>
      <c r="F9" s="63"/>
      <c r="G9" s="63"/>
      <c r="H9" s="65"/>
      <c r="I9" s="62"/>
      <c r="J9" s="63"/>
      <c r="K9" s="63"/>
      <c r="L9" s="63"/>
      <c r="M9" s="63"/>
      <c r="N9" s="64"/>
      <c r="O9" s="65"/>
      <c r="P9" s="46"/>
      <c r="Q9" s="63"/>
      <c r="R9" s="63"/>
      <c r="S9" s="63"/>
      <c r="T9" s="63"/>
      <c r="U9" s="64"/>
      <c r="V9" s="46"/>
    </row>
    <row r="10" ht="39.0" customHeight="1">
      <c r="A10" s="46"/>
      <c r="B10" s="73"/>
      <c r="C10" s="73"/>
      <c r="D10" s="73"/>
      <c r="E10" s="73"/>
      <c r="F10" s="73"/>
      <c r="G10" s="73"/>
      <c r="H10" s="46"/>
      <c r="I10" s="46"/>
      <c r="J10" s="73"/>
      <c r="K10" s="73"/>
      <c r="L10" s="73"/>
      <c r="M10" s="73"/>
      <c r="N10" s="73"/>
      <c r="O10" s="46"/>
      <c r="P10" s="46"/>
      <c r="Q10" s="46"/>
      <c r="R10" s="46"/>
      <c r="S10" s="46"/>
      <c r="T10" s="46"/>
      <c r="U10" s="46"/>
      <c r="V10" s="46"/>
    </row>
    <row r="11" ht="39.0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 ht="39.0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</row>
    <row r="13" ht="39.0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</row>
    <row r="14" ht="39.0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</row>
    <row r="15" ht="39.0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</row>
    <row r="16" ht="39.0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</row>
    <row r="17" ht="39.0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</row>
    <row r="18" ht="39.0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</row>
    <row r="19" ht="39.0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</row>
    <row r="20" ht="39.0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</row>
    <row r="21" ht="39.0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</row>
    <row r="22" ht="39.0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ht="39.0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</row>
    <row r="24" ht="39.0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</row>
    <row r="25" ht="39.0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</row>
    <row r="26" ht="39.0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</row>
    <row r="27" ht="39.0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</row>
    <row r="28" ht="39.0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</row>
    <row r="29" ht="39.0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</row>
    <row r="30" ht="39.0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</row>
    <row r="31" ht="39.0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</row>
    <row r="32" ht="39.0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</row>
    <row r="33" ht="39.0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</row>
    <row r="34" ht="39.0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</row>
    <row r="35" ht="39.0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</row>
    <row r="36" ht="39.0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</row>
    <row r="37" ht="39.0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</row>
    <row r="38" ht="39.0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</row>
    <row r="39" ht="39.0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</row>
    <row r="40" ht="39.0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</row>
    <row r="41" ht="39.0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</row>
    <row r="42" ht="39.0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</row>
    <row r="43" ht="39.0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</row>
    <row r="44" ht="39.0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</row>
    <row r="45" ht="39.0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ht="39.0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ht="39.0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</row>
    <row r="48" ht="39.0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ht="39.0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</row>
    <row r="50" ht="39.0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</row>
    <row r="51" ht="39.0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</row>
    <row r="52" ht="39.0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</row>
    <row r="53" ht="39.0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</row>
    <row r="54" ht="39.0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</row>
    <row r="55" ht="39.0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</row>
    <row r="56" ht="39.0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</row>
    <row r="57" ht="39.0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</row>
    <row r="58" ht="39.0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</row>
    <row r="59" ht="39.0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</row>
    <row r="60" ht="39.0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</row>
    <row r="61" ht="39.0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</row>
    <row r="62" ht="39.0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</row>
    <row r="63" ht="39.0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</row>
    <row r="64" ht="39.0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</row>
    <row r="65" ht="39.0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</row>
    <row r="66" ht="39.0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</row>
    <row r="67" ht="39.0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</row>
    <row r="68" ht="39.0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</row>
    <row r="69" ht="39.0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</row>
    <row r="70" ht="39.0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</row>
    <row r="71" ht="39.0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</row>
    <row r="72" ht="39.0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</row>
    <row r="73" ht="39.0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</row>
    <row r="74" ht="39.0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</row>
    <row r="75" ht="39.0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</row>
    <row r="76" ht="39.0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</row>
    <row r="77" ht="39.0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</row>
    <row r="78" ht="39.0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</row>
    <row r="79" ht="39.0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</row>
    <row r="80" ht="39.0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</row>
    <row r="81" ht="39.0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</row>
    <row r="82" ht="39.0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</row>
    <row r="83" ht="39.0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</row>
    <row r="84" ht="39.0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</row>
    <row r="85" ht="39.0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</row>
    <row r="86" ht="39.0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</row>
    <row r="87" ht="39.0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</row>
    <row r="88" ht="39.0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</row>
    <row r="89" ht="39.0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</row>
    <row r="90" ht="39.0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</row>
    <row r="91" ht="39.0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ht="39.0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</row>
    <row r="93" ht="39.0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</row>
    <row r="94" ht="39.0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</row>
    <row r="95" ht="39.0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</row>
    <row r="96" ht="39.0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</row>
    <row r="97" ht="39.0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</row>
    <row r="98" ht="39.0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</row>
    <row r="99" ht="39.0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</row>
    <row r="100" ht="39.0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</row>
    <row r="101" ht="39.0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</row>
  </sheetData>
  <mergeCells count="6">
    <mergeCell ref="B1:F1"/>
    <mergeCell ref="J1:N1"/>
    <mergeCell ref="Q1:U1"/>
    <mergeCell ref="B2:F2"/>
    <mergeCell ref="J2:N2"/>
    <mergeCell ref="S2:U2"/>
  </mergeCells>
  <conditionalFormatting sqref="S8">
    <cfRule type="notContainsBlanks" dxfId="0" priority="1">
      <formula>LEN(TRIM(S8))&gt;0</formula>
    </cfRule>
  </conditionalFormatting>
  <drawing r:id="rId1"/>
</worksheet>
</file>