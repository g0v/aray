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<sst xmlns="http://schemas.openxmlformats.org/spreadsheetml/2006/main" count="403" uniqueCount="238">
  <si>
    <t>發表時間
Time</t>
  </si>
  <si>
    <t>完成</t>
  </si>
  <si>
    <t>發表者
Presenter</t>
  </si>
  <si>
    <t>提案形式
Form</t>
  </si>
  <si>
    <t>錄影以 CC-BY 釋出？</t>
  </si>
  <si>
    <t>專案名稱
Project Name</t>
  </si>
  <si>
    <t>主題
Topic</t>
  </si>
  <si>
    <t xml:space="preserve">專案授權
Project License </t>
  </si>
  <si>
    <t>共筆／討論連結
HackMD link</t>
  </si>
  <si>
    <t>目前成果／投影片連結
Slide link</t>
  </si>
  <si>
    <t>新參者友善（Y/?）
Newcomer-friendly?</t>
  </si>
  <si>
    <t>專案三個關鍵字
3 Keywords of Project</t>
  </si>
  <si>
    <t>專案徵人（專長）
Recruitment (talents?)</t>
  </si>
  <si>
    <t>坑主聯絡方式
Contact</t>
  </si>
  <si>
    <t>youtube url: 專案報告 或是 預錄影片</t>
  </si>
  <si>
    <t>youtube url: 成果報告</t>
  </si>
  <si>
    <t>09:30開場，09:50提案開始【3分鐘提案報名】每個 present 3min，提案、徵人。</t>
  </si>
  <si>
    <r>
      <rPr>
        <color rgb="FFFF9900"/>
      </rPr>
      <t>＊無法實體出席者，建議以預錄影片提案。並將提案影片連結填在欄位</t>
    </r>
    <r>
      <rPr>
        <b/>
        <color rgb="FFFF9900"/>
      </rPr>
      <t>「O：youtube url 或是 預錄影片」</t>
    </r>
  </si>
  <si>
    <t>V</t>
  </si>
  <si>
    <t>HsinYao Wang</t>
  </si>
  <si>
    <t>實體</t>
  </si>
  <si>
    <t>Y</t>
  </si>
  <si>
    <t>DARTA</t>
  </si>
  <si>
    <t>CC BY-NC-SA 4.0</t>
  </si>
  <si>
    <t>https://docs.google.com/presentation/d/1_ay61GZaxBGmUavZFcfQpS_gcZHfK1si7JFPUSGzXd0/edit?usp=sharing</t>
  </si>
  <si>
    <t>Weiting</t>
  </si>
  <si>
    <t>DA0-DeSci</t>
  </si>
  <si>
    <t>在gov自治組織中參與全球去中心化科學浪潮</t>
  </si>
  <si>
    <t>https://docs.google.com/presentation/d/1htDN9zsRMO9iBXSAyfqKbSzA0bc1i_DCs8urOpIcHjQ/edit?usp=sharing</t>
  </si>
  <si>
    <t>g0v slack #da0-desci</t>
  </si>
  <si>
    <t>Skyler</t>
  </si>
  <si>
    <t>預錄影片</t>
  </si>
  <si>
    <t>Gl0bal</t>
  </si>
  <si>
    <t>一個有關G0V跨文化溝通與交流的文化研究: 探討社群的多樣性和前瞻性</t>
  </si>
  <si>
    <t>https://hackmd.io/@Xv38RGXlRiC5tuivp5SjVg/SJ5YKz0W3/edit</t>
  </si>
  <si>
    <t>https://www.canva.com/design/DAFfeMCgJxU/OTC859O7HVPV3DWGoSViLg/view?utm_content=DAFfeMCgJxU&amp;utm_campaign=designshare&amp;utm_medium=link&amp;utm_source=recording_view</t>
  </si>
  <si>
    <t>Charlie</t>
  </si>
  <si>
    <t>選前大補帖</t>
  </si>
  <si>
    <t>我們在解決什麼問題＆徵人</t>
  </si>
  <si>
    <t>https://g0v.hackmd.io/ggu0OK8-QaOpOJUmjvaYKQ</t>
  </si>
  <si>
    <t>客製化的投票幫手</t>
  </si>
  <si>
    <t>UIUX Owner＆對選舉問題有興趣的人</t>
  </si>
  <si>
    <t>you@hsuyuting.com / g0v slack @HsuYuTing</t>
  </si>
  <si>
    <t>https://www.youtube.com/watch?v=PKwL3amT39Y</t>
  </si>
  <si>
    <t>Tim</t>
  </si>
  <si>
    <t>DeSci-pRoots</t>
  </si>
  <si>
    <t>介紹 Discourse Graph - 聚合知識和具象化想法的”協議”</t>
  </si>
  <si>
    <t>https://www.canva.com/design/DAFfaoZokmo/5HJdzBgg5ynQvS0T8MxW9A/edit?utm_content=DAFfaoZokmo&amp;utm_campaign=designshare&amp;utm_medium=link2&amp;utm_source=sharebutton</t>
  </si>
  <si>
    <t>Web3, Roam Research, 生產力</t>
  </si>
  <si>
    <t>tg @stoneprunus</t>
  </si>
  <si>
    <t>DiscourseGraph</t>
  </si>
  <si>
    <t>Isabel</t>
  </si>
  <si>
    <t>Sch001 - AI</t>
  </si>
  <si>
    <t>數位公民素養 - AI 篇</t>
  </si>
  <si>
    <t>CC BY-SA 4.0</t>
  </si>
  <si>
    <t>#edu</t>
  </si>
  <si>
    <t>數位公民素養 -- AI 篇</t>
  </si>
  <si>
    <t>教育、AI、討論</t>
  </si>
  <si>
    <t>問問題、討論、講解的人</t>
  </si>
  <si>
    <t>ichieh</t>
  </si>
  <si>
    <t>g0v AI 分類帽</t>
  </si>
  <si>
    <t>g0v AI 機器人 aka 專案分類帽</t>
  </si>
  <si>
    <t>https://g0v.hackmd.io/yOmr3hf7RDypNnAWRnw2gQ</t>
  </si>
  <si>
    <t>https://g0v.hackmd.io/@ichieh/g0vsortinghat</t>
  </si>
  <si>
    <t>AI、基礎建設、資料庫</t>
  </si>
  <si>
    <t>會寫程式的人、不會想程式但想試試看的人</t>
  </si>
  <si>
    <t>Teemo</t>
  </si>
  <si>
    <t>批踢踢不能亡</t>
  </si>
  <si>
    <t>新版本APP測試進度</t>
  </si>
  <si>
    <t>MIT</t>
  </si>
  <si>
    <t>批踢踢不能亡 - 新版本 App 測試進度</t>
  </si>
  <si>
    <t>peter</t>
  </si>
  <si>
    <t>ZKP與公民科技</t>
  </si>
  <si>
    <t>應用零知識證明於公民科技的討論</t>
  </si>
  <si>
    <t>https://g0v.hackmd.io/@noahyeh/rkwzDr-qs</t>
  </si>
  <si>
    <t>ZKP x CIVIC TECH</t>
  </si>
  <si>
    <t>Huanry</t>
  </si>
  <si>
    <t>永續捐贈議題</t>
  </si>
  <si>
    <t>NPO經濟永續設計議題，調研階段。</t>
  </si>
  <si>
    <t>待定</t>
  </si>
  <si>
    <t>https://g0v.hackmd.io/FrdfAMwoR7-w-m-UVqsJ1w</t>
  </si>
  <si>
    <t>NPO、經濟、永續</t>
  </si>
  <si>
    <t>NPO人員、志工</t>
  </si>
  <si>
    <t>g0v slack #115b</t>
  </si>
  <si>
    <t>pm5</t>
  </si>
  <si>
    <t>g0v Summit</t>
  </si>
  <si>
    <t>g0v Summit(?) 2024</t>
  </si>
  <si>
    <t>https://g0v.hackmd.io/6e06MbQuSkGxQpvKzMBIBQ</t>
  </si>
  <si>
    <r>
      <rPr>
        <color rgb="FF1155CC"/>
        <u/>
      </rPr>
      <t>https://g0v.hackmd.io/ImDuJ2MwSh2Cmia0WyWinA</t>
    </r>
    <r>
      <rPr>
        <color rgb="FF000000"/>
      </rPr>
      <t xml:space="preserve"> </t>
    </r>
  </si>
  <si>
    <t>?</t>
  </si>
  <si>
    <t>全球公⺠科技盛會、開放群眾協作、連結在地社群</t>
  </si>
  <si>
    <t>暫時沿用舊制：總籌、會計、場地、贊助、議程、其它</t>
  </si>
  <si>
    <t>#summit-2024-bootstrap on g0v Slack</t>
  </si>
  <si>
    <t>chewei</t>
  </si>
  <si>
    <t>坑主小聚</t>
  </si>
  <si>
    <t xml:space="preserve">坑主大補帖與公民科技手冊 Tips for Starting a Project / Civic Tech Project Handbook </t>
  </si>
  <si>
    <t>CC BY 4.0 by g0v contributors</t>
  </si>
  <si>
    <r>
      <rPr>
        <color rgb="FF000000"/>
        <sz val="10.0"/>
      </rPr>
      <t xml:space="preserve">坑主小聚共筆
</t>
    </r>
    <r>
      <rPr>
        <color rgb="FF1155CC"/>
        <sz val="10.0"/>
        <u/>
      </rPr>
      <t>https://g0v.hackmd.io/@jothon/keng/</t>
    </r>
  </si>
  <si>
    <r>
      <rPr/>
      <t xml:space="preserve">Civic Tech Project Handbook 
</t>
    </r>
    <r>
      <rPr>
        <color rgb="FF1155CC"/>
        <u/>
      </rPr>
      <t>https://g0v.hackmd.io/@jothon/ctpbook/</t>
    </r>
  </si>
  <si>
    <t>Tips for Starting a Project, Handbook 手冊, Cross border</t>
  </si>
  <si>
    <t>提案流程圖製作, civic tech project 手冊撰寫</t>
  </si>
  <si>
    <t>(1) 手冊共筆 g0v slack #facing-the-ocean
(2) 坑主小聚 g0v slack #jothon
@chewei</t>
  </si>
  <si>
    <t>bil</t>
  </si>
  <si>
    <t>Cofacts 真的假的</t>
  </si>
  <si>
    <t>Cofacts 真的假的 訊息回報機器人與查證協作社群</t>
  </si>
  <si>
    <t>MIT / CC BY-SA 4.0</t>
  </si>
  <si>
    <t>https://cofacts.tw/hack</t>
  </si>
  <si>
    <t>20230408 g0v-hackath55th</t>
  </si>
  <si>
    <t>crowd sourcing, fact-checking, chatbot, ChatGPT</t>
  </si>
  <si>
    <t>會上網google的人、fact checkers、React.JS 開發者</t>
  </si>
  <si>
    <t>#cofacts in g0v slack
@bil, @mrorz in g0v slack</t>
  </si>
  <si>
    <t>Paul</t>
  </si>
  <si>
    <t>new safeID
換掉外洩的證號
(居然候補到了好感動)</t>
  </si>
  <si>
    <t>戶政資料大外洩，亡羊補牢
(might be)the biggest data breach in the world, let's fix it from changing our ID number</t>
  </si>
  <si>
    <t>https://g0v.hackmd.io/yZd5nmZWRLqQ2R2kqvcNqg</t>
  </si>
  <si>
    <t>new safeID slide 04-08 @g0v hackath55n</t>
  </si>
  <si>
    <t>個資隱私、反詐騙、低技術門檻
data-privacy, anti-scam, low-tech</t>
  </si>
  <si>
    <t>會做長輩圖的人, 會寫作文的人, 會打字的人, 平面設計師, 前端開發者, 會下 prompt 生圖的人, 會創作短影音的人
who can make taiwanese boomer meme, who can compose social media post(or msg), who can type in mandarin chinese or english, graphic desinger, front-end dev, who can generate image or video with AIGC tools, who can shot or make short video (like tiktok)</t>
  </si>
  <si>
    <t>#privacy in g0v slack @paulplastic</t>
  </si>
  <si>
    <t>Jonathan</t>
  </si>
  <si>
    <t>OpenLab Mapping</t>
  </si>
  <si>
    <t>GIS data discussion in OpenLab Mapping</t>
  </si>
  <si>
    <t>g0v.london: Open Lab</t>
  </si>
  <si>
    <t>Open Lab</t>
  </si>
  <si>
    <t>#london-open-lab in g0v slack</t>
  </si>
  <si>
    <t>原味 (其磊)</t>
  </si>
  <si>
    <t>Ｙ</t>
  </si>
  <si>
    <t>咖啡閒談</t>
  </si>
  <si>
    <t>返璞歸真的社交文化運動</t>
  </si>
  <si>
    <t>https://hackmd.io/@ibconsider/naturechats/edit</t>
  </si>
  <si>
    <t>咖啡閒談 2023.04.08</t>
  </si>
  <si>
    <t>line id: chileipu
a0983525419@gmail.com</t>
  </si>
  <si>
    <t>https://youtu.be/byZlG8nPigs
https://docs.google.com/spreadsheets/d/1EKgqSGmXQrsXWXymeBpFRX9lYb9eOQGDY6oLZYBtbJQ/edit#gid=946861804</t>
  </si>
  <si>
    <t>== 截止 ==</t>
  </si>
  <si>
    <t>候補QQ</t>
  </si>
  <si>
    <t>Noah</t>
  </si>
  <si>
    <t>林茲電子藝術節黑客松</t>
  </si>
  <si>
    <t>https://g0v.hackmd.io/@da0/Sk59_tiWh</t>
  </si>
  <si>
    <t>hackathon, EA, ownership</t>
  </si>
  <si>
    <t>嗡嗡</t>
  </si>
  <si>
    <t xml:space="preserve">PrideWatch </t>
  </si>
  <si>
    <t>PrideWatch 彩虹選民投票指南</t>
  </si>
  <si>
    <t>PrideWatch</t>
  </si>
  <si>
    <t>觀選指南、同志友善候選人、開放社群協作</t>
  </si>
  <si>
    <t>宣傳、開放共編發想、選舉指南</t>
  </si>
  <si>
    <t>Irvin</t>
  </si>
  <si>
    <t xml:space="preserve">Irvin
[工商服務] 摩茲工寮實體 hackerspace 歡迎免費申請使用： moztw.space </t>
  </si>
  <si>
    <t>Common Voice - 一起使喚機器人生出一千個中文句子給大家錄音</t>
  </si>
  <si>
    <t>CC0</t>
  </si>
  <si>
    <t>https://hackmd.io/@moztw/common-voice-doc-archive</t>
  </si>
  <si>
    <t>common voice @ g0v hackath48n - HackMD</t>
  </si>
  <si>
    <t>網頁, 語音語料庫, 台語</t>
  </si>
  <si>
    <t>a. 說中文 / 國中以上國文
or b. 台文能力
or c. node / 文字資料統計</t>
  </si>
  <si>
    <r>
      <rPr/>
      <t xml:space="preserve">討論群組 - </t>
    </r>
    <r>
      <rPr>
        <color rgb="FF1155CC"/>
        <u/>
      </rPr>
      <t>t.me/moztwCV</t>
    </r>
    <r>
      <rPr/>
      <t xml:space="preserve">
slack @irvin</t>
    </r>
  </si>
  <si>
    <t xml:space="preserve"> \ 本次候補已滿XD /  \ 以上候補提案，將提供「一分鐘」提案發表時間 / </t>
  </si>
  <si>
    <t>14:30【8分鐘短講報名】
每個 present 8min，分享議題、專案、研究、技術皆可。</t>
  </si>
  <si>
    <t>順序</t>
  </si>
  <si>
    <t>錄影以 CC-BY 釋出?</t>
  </si>
  <si>
    <t>相關連結
Link</t>
  </si>
  <si>
    <t>三個關鍵字
3 Keywords</t>
  </si>
  <si>
    <t>Nick</t>
  </si>
  <si>
    <t>Mozilla Festival</t>
  </si>
  <si>
    <t>MozFest 2023</t>
  </si>
  <si>
    <t>InkRosetta</t>
  </si>
  <si>
    <t>Generative infographics with GPT-4</t>
  </si>
  <si>
    <t>邱政維(Daniel)</t>
  </si>
  <si>
    <t>Presidential Hackathon International Track</t>
  </si>
  <si>
    <t>2023 Presidential Hackathon International Track Introductory</t>
  </si>
  <si>
    <r>
      <rPr/>
      <t xml:space="preserve">official website </t>
    </r>
    <r>
      <rPr>
        <color rgb="FF1155CC"/>
        <u/>
      </rPr>
      <t>https://presidential-hackathon.taiwan.gov.tw/en/international-track/index.html</t>
    </r>
  </si>
  <si>
    <t>2023總統盃國際松簡介(M)20230321v1.3.pptx</t>
  </si>
  <si>
    <t>OPEN,DIGITAL, GREEN</t>
  </si>
  <si>
    <t>daniel_chiu@mail.tca.org.tw
02-2577-4249 # 861</t>
  </si>
  <si>
    <t>ael</t>
  </si>
  <si>
    <t>g0v.london</t>
  </si>
  <si>
    <t>g0v.london: the good, the bad and the ugly</t>
  </si>
  <si>
    <t>Unknown</t>
  </si>
  <si>
    <t>https://link.g0v.london</t>
  </si>
  <si>
    <t>g0v.london: The Good, The Bad, and The Ugly</t>
  </si>
  <si>
    <t>@ael in g0v Slack</t>
  </si>
  <si>
    <t>本期開放4位8分鐘</t>
  </si>
  <si>
    <t>16:00【 present project】 規則：
每個 present 5min，可視 project 數量和剩餘時間調整</t>
  </si>
  <si>
    <t>張郁</t>
  </si>
  <si>
    <t>irvin</t>
  </si>
  <si>
    <t>Common Voice / CC0句庫</t>
  </si>
  <si>
    <t>使用 gpt 生成錄音用的句子</t>
  </si>
  <si>
    <t>https://hackmd.io/Bi7HfYJUQvyq0969iR19VA?view</t>
  </si>
  <si>
    <r>
      <rPr/>
      <t xml:space="preserve">討論群組 - </t>
    </r>
    <r>
      <rPr>
        <color rgb="FF1155CC"/>
        <u/>
      </rPr>
      <t>t.me/moztwCV</t>
    </r>
    <r>
      <rPr/>
      <t xml:space="preserve">
slack @irvin</t>
    </r>
  </si>
  <si>
    <t>Stamford</t>
  </si>
  <si>
    <t>Arm0ry</t>
  </si>
  <si>
    <t>Arm0ry Playground</t>
  </si>
  <si>
    <t>CC-BY 4.0</t>
  </si>
  <si>
    <t>https://docs.google.com/presentation/d/1D3yu00gjoPq6QEwf1dbjsYqdAump4ds6YbdcawKxHDE/edit#slide=id.g213f4f77157_0_35</t>
  </si>
  <si>
    <t>DAO, 區塊鏈</t>
  </si>
  <si>
    <t>其磊</t>
  </si>
  <si>
    <t>CiviCue 平方投票開源模組</t>
  </si>
  <si>
    <t>Quadratic Voting Smart Contract</t>
  </si>
  <si>
    <t>QV demo.mov</t>
  </si>
  <si>
    <t>https://drive.google.com/file/d/1ZFZyNrEzmfFwg1u2OmOFt3F1Kfrkjt2P/view?usp=sharing</t>
  </si>
  <si>
    <r>
      <rPr>
        <color rgb="FF000000"/>
        <sz val="10.0"/>
      </rPr>
      <t xml:space="preserve">坑主小聚共筆
</t>
    </r>
    <r>
      <rPr>
        <color rgb="FF1155CC"/>
        <sz val="10.0"/>
        <u/>
      </rPr>
      <t>https://g0v.hackmd.io/@jothon/keng/</t>
    </r>
  </si>
  <si>
    <r>
      <rPr/>
      <t xml:space="preserve">Civic Tech Project Handbook 
</t>
    </r>
    <r>
      <rPr>
        <color rgb="FF1155CC"/>
        <u/>
      </rPr>
      <t>https://g0v.hackmd.io/@jothon/ctpbook/</t>
    </r>
  </si>
  <si>
    <t>bridge</t>
  </si>
  <si>
    <t>https://g0v.hackmd.io/OmYCPV5aSFKCgJUar7dGDQ</t>
  </si>
  <si>
    <t>#faceing-the-ocean
#cofacts
#edu-open-coscup-2023</t>
  </si>
  <si>
    <t>搭橋、聊天、測試者</t>
  </si>
  <si>
    <t>坑主來申請</t>
  </si>
  <si>
    <t>#bridge
@pm5</t>
  </si>
  <si>
    <t>MrOrz</t>
  </si>
  <si>
    <t>RSChiang</t>
  </si>
  <si>
    <t>g0v language portal</t>
  </si>
  <si>
    <t>國教院詞彙格式更新對策</t>
  </si>
  <si>
    <t xml:space="preserve"> </t>
  </si>
  <si>
    <t>g0v/moedict-data-terms: 開放語料庫專案</t>
  </si>
  <si>
    <t>@RSChiang</t>
  </si>
  <si>
    <t>new safeID
換掉外洩的證號</t>
  </si>
  <si>
    <t>Mirusa</t>
  </si>
  <si>
    <t xml:space="preserve">Sowal no Formosa (Formosan Languages Revitalisation Project) </t>
  </si>
  <si>
    <t>The projects of Formosan Languages Revitalizing... (族語&amp;語言復振)(不一定只有族語才能復振 其他語言也應納入考量)</t>
  </si>
  <si>
    <t xml:space="preserve">Unsure </t>
  </si>
  <si>
    <t>Same link as right side...</t>
  </si>
  <si>
    <t>Sowal no Formosan on HackMD...</t>
  </si>
  <si>
    <t>Formosan Languages (族語), Languages Revitalization(語言復振), Programming(程式設計)</t>
  </si>
  <si>
    <t>Linguistic, Formosan Languages(Amis, Atayal, Sakizaya. Paiwan...), Frontend(Vue, Node...)</t>
  </si>
  <si>
    <r>
      <rPr/>
      <t xml:space="preserve">g0v slack #sowalnoformosa
mirusausiliq@gmail.com
</t>
    </r>
    <r>
      <rPr>
        <color rgb="FF1155CC"/>
        <u/>
      </rPr>
      <t>Personal Blog...</t>
    </r>
    <r>
      <rPr/>
      <t xml:space="preserve">
</t>
    </r>
    <r>
      <rPr>
        <color rgb="FF1155CC"/>
        <u/>
      </rPr>
      <t>Github...</t>
    </r>
  </si>
  <si>
    <t>揪松團</t>
  </si>
  <si>
    <t>歡迎大家填寫影響力問卷</t>
  </si>
  <si>
    <t xml:space="preserve">影響力問卷, 影響力報告, 歡迎填寫 ! </t>
  </si>
  <si>
    <t>g0v slack #jothon</t>
  </si>
  <si>
    <t>開場場地 舞台</t>
  </si>
  <si>
    <t>白板</t>
  </si>
  <si>
    <t>門</t>
  </si>
  <si>
    <t>AI 機器人</t>
  </si>
  <si>
    <t xml:space="preserve"> 門</t>
  </si>
  <si>
    <t>da0 arm0ry</t>
  </si>
  <si>
    <t>阿美語萌典</t>
  </si>
  <si>
    <t>公民科技手冊與坑主大補帖</t>
  </si>
  <si>
    <t>Common Voice / 摩茲工寮 / firefox</t>
  </si>
  <si>
    <t>彩虹選民
PrideWatch</t>
  </si>
  <si>
    <t>永續捐贈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</si>
</sst>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8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>
      <name val="Arial"/>
    </font>
    <font/>
    <font>
      <color rgb="FF0000FF"/>
    </font>
    <font>
      <u/>
      <color rgb="FF0000FF"/>
    </font>
    <font>
      <sz val="11.0"/>
    </font>
    <font>
      <u/>
      <color rgb="FF0000FF"/>
    </font>
    <font>
      <u/>
      <sz val="10.0"/>
      <color rgb="FF0000FF"/>
    </font>
    <font>
      <sz val="10.0"/>
    </font>
    <font>
      <color rgb="FF000000"/>
      <name val="Arial"/>
    </font>
    <font>
      <sz val="11.0"/>
      <color rgb="FF000000"/>
      <name val="Arial"/>
    </font>
    <font>
      <u/>
      <sz val="10.0"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sz val="11.0"/>
      <color rgb="FF000000"/>
      <name val="Tauhu-oo"/>
    </font>
    <font>
      <u/>
      <color rgb="FF56A3F1"/>
    </font>
    <font>
      <u/>
      <color rgb="FF1155CC"/>
    </font>
    <font>
      <u/>
      <color rgb="FF0000FF"/>
    </font>
    <font>
      <u/>
      <color rgb="FF0000FF"/>
    </font>
    <font>
      <b/>
      <sz val="12.0"/>
    </font>
    <font>
      <u/>
      <color rgb="FF0000FF"/>
    </font>
    <font>
      <u/>
      <color rgb="FF0000FF"/>
    </font>
    <font>
      <u/>
      <color rgb="FF0000FF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color rgb="FF000000"/>
    </font>
    <font>
      <color rgb="FF000000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9E8E8"/>
        <bgColor rgb="FFF9E8E8"/>
      </patternFill>
    </fill>
    <fill>
      <patternFill patternType="solid">
        <fgColor rgb="FFF4CCCC"/>
        <bgColor rgb="FFF4CCCC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6" fontId="16" numFmtId="0" xfId="0" applyAlignment="1" applyFill="1" applyFont="1">
      <alignment horizontal="left" readingOrder="0" shrinkToFit="0" vertical="center" wrapText="1"/>
    </xf>
    <xf borderId="0" fillId="6" fontId="16" numFmtId="0" xfId="0" applyAlignment="1" applyFont="1">
      <alignment horizontal="left" readingOrder="0" shrinkToFit="0" vertical="center" wrapText="1"/>
    </xf>
    <xf borderId="0" fillId="5" fontId="15" numFmtId="0" xfId="0" applyAlignment="1" applyFont="1">
      <alignment horizontal="center" readingOrder="0" shrinkToFit="0" vertical="center" wrapText="1"/>
    </xf>
    <xf borderId="0" fillId="6" fontId="0" numFmtId="0" xfId="0" applyAlignment="1" applyFont="1">
      <alignment readingOrder="0" shrinkToFit="0" vertical="center" wrapText="1"/>
    </xf>
    <xf borderId="0" fillId="6" fontId="17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6" fontId="21" numFmtId="0" xfId="0" applyAlignment="1" applyFont="1">
      <alignment horizontal="left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quotePrefix="1" borderId="0" fillId="0" fontId="8" numFmtId="0" xfId="0" applyAlignment="1" applyFont="1">
      <alignment readingOrder="0" shrinkToFit="0" vertical="center" wrapText="1"/>
    </xf>
    <xf borderId="0" fillId="7" fontId="8" numFmtId="0" xfId="0" applyAlignment="1" applyFill="1" applyFont="1">
      <alignment readingOrder="0" shrinkToFit="0" vertical="center" wrapText="1"/>
    </xf>
    <xf borderId="0" fillId="7" fontId="8" numFmtId="0" xfId="0" applyAlignment="1" applyFont="1">
      <alignment horizontal="center" readingOrder="0" shrinkToFit="0" vertical="center" wrapText="1"/>
    </xf>
    <xf borderId="0" fillId="7" fontId="8" numFmtId="0" xfId="0" applyAlignment="1" applyFont="1">
      <alignment readingOrder="0" shrinkToFit="0" wrapText="1"/>
    </xf>
    <xf borderId="0" fillId="7" fontId="7" numFmtId="0" xfId="0" applyAlignment="1" applyFont="1">
      <alignment shrinkToFit="0" wrapText="1"/>
    </xf>
    <xf borderId="0" fillId="7" fontId="24" numFmtId="0" xfId="0" applyAlignment="1" applyFont="1">
      <alignment readingOrder="0" shrinkToFit="0" vertical="center" wrapText="1"/>
    </xf>
    <xf borderId="0" fillId="7" fontId="8" numFmtId="0" xfId="0" applyAlignment="1" applyFont="1">
      <alignment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25" numFmtId="0" xfId="0" applyAlignment="1" applyFont="1">
      <alignment readingOrder="0" shrinkToFit="0" vertical="center" wrapText="1"/>
    </xf>
    <xf borderId="0" fillId="7" fontId="7" numFmtId="0" xfId="0" applyAlignment="1" applyFont="1">
      <alignment shrinkToFit="0" wrapText="1"/>
    </xf>
    <xf borderId="0" fillId="7" fontId="7" numFmtId="0" xfId="0" applyAlignment="1" applyFont="1">
      <alignment readingOrder="0" shrinkToFit="0" wrapText="1"/>
    </xf>
    <xf borderId="0" fillId="8" fontId="26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left" shrinkToFit="0" vertical="center" wrapText="1"/>
    </xf>
    <xf borderId="0" fillId="0" fontId="28" numFmtId="0" xfId="0" applyAlignment="1" applyFont="1">
      <alignment readingOrder="0" shrinkToFit="0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6" fontId="8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9" fontId="8" numFmtId="0" xfId="0" applyAlignment="1" applyFill="1" applyFont="1">
      <alignment shrinkToFit="0" vertical="center" wrapText="1"/>
    </xf>
    <xf borderId="0" fillId="9" fontId="14" numFmtId="0" xfId="0" applyAlignment="1" applyFont="1">
      <alignment horizontal="center" readingOrder="0" shrinkToFit="0" vertical="center" wrapText="1"/>
    </xf>
    <xf borderId="0" fillId="9" fontId="8" numFmtId="0" xfId="0" applyAlignment="1" applyFont="1">
      <alignment horizontal="center" shrinkToFit="0" vertical="center" wrapText="1"/>
    </xf>
    <xf quotePrefix="1" borderId="0" fillId="9" fontId="14" numFmtId="0" xfId="0" applyAlignment="1" applyFont="1">
      <alignment horizontal="center" readingOrder="0" shrinkToFit="0" vertical="center" wrapText="1"/>
    </xf>
    <xf borderId="0" fillId="9" fontId="8" numFmtId="0" xfId="0" applyAlignment="1" applyFont="1">
      <alignment readingOrder="0" shrinkToFit="0" vertical="center" wrapText="1"/>
    </xf>
    <xf borderId="0" fillId="9" fontId="8" numFmtId="0" xfId="0" applyAlignment="1" applyFont="1">
      <alignment horizontal="center" readingOrder="0" shrinkToFit="0" vertical="center" wrapText="1"/>
    </xf>
    <xf borderId="0" fillId="10" fontId="8" numFmtId="0" xfId="0" applyAlignment="1" applyFill="1" applyFont="1">
      <alignment shrinkToFit="0" wrapText="1"/>
    </xf>
    <xf borderId="0" fillId="0" fontId="8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20" xfId="0" applyAlignment="1" applyFont="1" applyNumberFormat="1">
      <alignment horizontal="center" shrinkToFit="0" vertical="center" wrapText="1"/>
    </xf>
    <xf borderId="0" fillId="6" fontId="31" numFmtId="0" xfId="0" applyAlignment="1" applyFont="1">
      <alignment horizontal="left" readingOrder="0" shrinkToFit="0" wrapText="1"/>
    </xf>
    <xf borderId="0" fillId="0" fontId="32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33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4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3" fontId="8" numFmtId="0" xfId="0" applyAlignment="1" applyFont="1">
      <alignment horizontal="left" readingOrder="0" shrinkToFit="0" vertical="center" wrapText="1"/>
    </xf>
    <xf borderId="0" fillId="6" fontId="14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6" fontId="14" numFmtId="0" xfId="0" applyAlignment="1" applyFont="1">
      <alignment horizontal="left" readingOrder="0" shrinkToFit="0" wrapText="1"/>
    </xf>
    <xf borderId="0" fillId="6" fontId="14" numFmtId="0" xfId="0" applyAlignment="1" applyFont="1">
      <alignment horizontal="left" readingOrder="0" shrinkToFit="0" wrapText="1"/>
    </xf>
    <xf borderId="0" fillId="8" fontId="8" numFmtId="0" xfId="0" applyAlignment="1" applyFont="1">
      <alignment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8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3" fillId="0" fontId="36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shrinkToFit="0" wrapText="1"/>
    </xf>
    <xf borderId="3" fillId="0" fontId="37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wrapText="1"/>
    </xf>
    <xf borderId="5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nk.g0v.london/" TargetMode="External"/><Relationship Id="rId42" Type="http://schemas.openxmlformats.org/officeDocument/2006/relationships/hyperlink" Target="https://g0v.hackmd.io/yOmr3hf7RDypNnAWRnw2gQ" TargetMode="External"/><Relationship Id="rId41" Type="http://schemas.openxmlformats.org/officeDocument/2006/relationships/hyperlink" Target="https://docs.google.com/presentation/d/1A0afgO1PcznmPmDD7EzsyKwobx6OhQHx4uuSIAz_A3M/edit?usp=sharing" TargetMode="External"/><Relationship Id="rId44" Type="http://schemas.openxmlformats.org/officeDocument/2006/relationships/hyperlink" Target="https://hackmd.io/Bi7HfYJUQvyq0969iR19VA?view" TargetMode="External"/><Relationship Id="rId43" Type="http://schemas.openxmlformats.org/officeDocument/2006/relationships/hyperlink" Target="https://g0v.hackmd.io/@ichieh/g0vsortinghat" TargetMode="External"/><Relationship Id="rId46" Type="http://schemas.openxmlformats.org/officeDocument/2006/relationships/hyperlink" Target="https://docs.google.com/presentation/d/1D3yu00gjoPq6QEwf1dbjsYqdAump4ds6YbdcawKxHDE/edit" TargetMode="External"/><Relationship Id="rId45" Type="http://schemas.openxmlformats.org/officeDocument/2006/relationships/hyperlink" Target="http://t.me/moztwCV" TargetMode="External"/><Relationship Id="rId1" Type="http://schemas.openxmlformats.org/officeDocument/2006/relationships/hyperlink" Target="https://docs.google.com/presentation/d/1_ay61GZaxBGmUavZFcfQpS_gcZHfK1si7JFPUSGzXd0/edit?usp=sharing" TargetMode="External"/><Relationship Id="rId2" Type="http://schemas.openxmlformats.org/officeDocument/2006/relationships/hyperlink" Target="https://docs.google.com/presentation/d/1htDN9zsRMO9iBXSAyfqKbSzA0bc1i_DCs8urOpIcHjQ/edit?usp=sharing" TargetMode="External"/><Relationship Id="rId3" Type="http://schemas.openxmlformats.org/officeDocument/2006/relationships/hyperlink" Target="https://hackmd.io/@Xv38RGXlRiC5tuivp5SjVg/SJ5YKz0W3/edit" TargetMode="External"/><Relationship Id="rId4" Type="http://schemas.openxmlformats.org/officeDocument/2006/relationships/hyperlink" Target="https://www.canva.com/design/DAFfeMCgJxU/OTC859O7HVPV3DWGoSViLg/view?utm_content=DAFfeMCgJxU&amp;utm_campaign=designshare&amp;utm_medium=link&amp;utm_source=recording_view" TargetMode="External"/><Relationship Id="rId9" Type="http://schemas.openxmlformats.org/officeDocument/2006/relationships/hyperlink" Target="https://www.youtube.com/watch?v=8wGVU085y-s" TargetMode="External"/><Relationship Id="rId48" Type="http://schemas.openxmlformats.org/officeDocument/2006/relationships/hyperlink" Target="https://drive.google.com/file/d/1ZFZyNrEzmfFwg1u2OmOFt3F1Kfrkjt2P/view?usp=sharing" TargetMode="External"/><Relationship Id="rId47" Type="http://schemas.openxmlformats.org/officeDocument/2006/relationships/hyperlink" Target="https://hackmd.io/@ibconsider/naturechats/edit" TargetMode="External"/><Relationship Id="rId49" Type="http://schemas.openxmlformats.org/officeDocument/2006/relationships/hyperlink" Target="https://drive.google.com/file/d/1ZFZyNrEzmfFwg1u2OmOFt3F1Kfrkjt2P/view?usp=sharing" TargetMode="External"/><Relationship Id="rId5" Type="http://schemas.openxmlformats.org/officeDocument/2006/relationships/hyperlink" Target="https://g0v.hackmd.io/ggu0OK8-QaOpOJUmjvaYKQ" TargetMode="External"/><Relationship Id="rId6" Type="http://schemas.openxmlformats.org/officeDocument/2006/relationships/hyperlink" Target="https://docs.google.com/presentation/d/1bC4bLMYm6gnjdAP9T7ACL191irQhW5q2mgvGYpAwSbg/edit?usp=sharing" TargetMode="External"/><Relationship Id="rId7" Type="http://schemas.openxmlformats.org/officeDocument/2006/relationships/hyperlink" Target="https://www.youtube.com/watch?v=sJe6-WqaoaY" TargetMode="External"/><Relationship Id="rId8" Type="http://schemas.openxmlformats.org/officeDocument/2006/relationships/hyperlink" Target="https://www.canva.com/design/DAFfaoZokmo/5HJdzBgg5ynQvS0T8MxW9A/edit?utm_content=DAFfaoZokmo&amp;utm_campaign=designshare&amp;utm_medium=link2&amp;utm_source=sharebutton" TargetMode="External"/><Relationship Id="rId31" Type="http://schemas.openxmlformats.org/officeDocument/2006/relationships/hyperlink" Target="https://g0v.hackmd.io/@da0/Sk59_tiWh" TargetMode="External"/><Relationship Id="rId30" Type="http://schemas.openxmlformats.org/officeDocument/2006/relationships/hyperlink" Target="https://youtu.be/byZlG8nPigs" TargetMode="External"/><Relationship Id="rId33" Type="http://schemas.openxmlformats.org/officeDocument/2006/relationships/hyperlink" Target="https://hackmd.io/@moztw/common-voice-doc-archive" TargetMode="External"/><Relationship Id="rId32" Type="http://schemas.openxmlformats.org/officeDocument/2006/relationships/hyperlink" Target="https://pridewatch.tw/" TargetMode="External"/><Relationship Id="rId35" Type="http://schemas.openxmlformats.org/officeDocument/2006/relationships/hyperlink" Target="http://t.me/moztwCV" TargetMode="External"/><Relationship Id="rId34" Type="http://schemas.openxmlformats.org/officeDocument/2006/relationships/hyperlink" Target="https://hackmd.io/@moztw/common-voice-g0v-48" TargetMode="External"/><Relationship Id="rId37" Type="http://schemas.openxmlformats.org/officeDocument/2006/relationships/hyperlink" Target="https://docs.google.com/presentation/d/1TMWOURmAOl5ug_lpKywlp6szJZP5c8YjYzn9CfV-cqQ/edit?usp=sharing" TargetMode="External"/><Relationship Id="rId36" Type="http://schemas.openxmlformats.org/officeDocument/2006/relationships/hyperlink" Target="https://docs.google.com/presentation/d/1XsJXHlAZSY6wFzkHefhZvhtcQab2Z93APLDrB6nVSKw/edit?usp=share_link" TargetMode="External"/><Relationship Id="rId39" Type="http://schemas.openxmlformats.org/officeDocument/2006/relationships/hyperlink" Target="https://docs.google.com/presentation/d/1LX6EgYEsdsoXq9DdYC2UMdn8175cdDw0/edit?usp=share_link&amp;ouid=100545478187466741177&amp;rtpof=true&amp;sd=true" TargetMode="External"/><Relationship Id="rId38" Type="http://schemas.openxmlformats.org/officeDocument/2006/relationships/hyperlink" Target="https://presidential-hackathon.taiwan.gov.tw/en/international-track/index.html" TargetMode="External"/><Relationship Id="rId20" Type="http://schemas.openxmlformats.org/officeDocument/2006/relationships/hyperlink" Target="https://g0v.hackmd.io/@jothon/keng/" TargetMode="External"/><Relationship Id="rId22" Type="http://schemas.openxmlformats.org/officeDocument/2006/relationships/hyperlink" Target="https://cofacts.tw/hack" TargetMode="External"/><Relationship Id="rId21" Type="http://schemas.openxmlformats.org/officeDocument/2006/relationships/hyperlink" Target="https://g0v.hackmd.io/@jothon/ctpbook/" TargetMode="External"/><Relationship Id="rId24" Type="http://schemas.openxmlformats.org/officeDocument/2006/relationships/hyperlink" Target="https://g0v.hackmd.io/yZd5nmZWRLqQ2R2kqvcNqg" TargetMode="External"/><Relationship Id="rId23" Type="http://schemas.openxmlformats.org/officeDocument/2006/relationships/hyperlink" Target="https://docs.google.com/presentation/d/1VGpMGe2nwPmlnxMVHeWCXsLaVGnKaM8bR-ltD2bB158/edit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ocs.google.com/document/d/1ZVm1z_NENA4W_tK3wWrEby5yHsuzgemfOZlT244qshw/edit" TargetMode="External"/><Relationship Id="rId25" Type="http://schemas.openxmlformats.org/officeDocument/2006/relationships/hyperlink" Target="https://docs.google.com/presentation/d/1rDZx86FCnHH_EgKBoH0aRgBfZesZVzS2IORH4JTWjF0/" TargetMode="External"/><Relationship Id="rId28" Type="http://schemas.openxmlformats.org/officeDocument/2006/relationships/hyperlink" Target="https://hackmd.io/@ibconsider/naturechats/edit" TargetMode="External"/><Relationship Id="rId27" Type="http://schemas.openxmlformats.org/officeDocument/2006/relationships/hyperlink" Target="https://drive.google.com/drive/folders/1PjEXll6lRiXNrlKPf-lYaOZOna1OkE2a" TargetMode="External"/><Relationship Id="rId29" Type="http://schemas.openxmlformats.org/officeDocument/2006/relationships/hyperlink" Target="https://docs.google.com/presentation/d/11q_jujBd1CGiSx_VX2xngxWsHrAzDGXW7qX7Ial-vUk/edit?usp=sharing" TargetMode="External"/><Relationship Id="rId51" Type="http://schemas.openxmlformats.org/officeDocument/2006/relationships/hyperlink" Target="https://g0v.hackmd.io/@jothon/ctpbook/" TargetMode="External"/><Relationship Id="rId50" Type="http://schemas.openxmlformats.org/officeDocument/2006/relationships/hyperlink" Target="https://g0v.hackmd.io/@jothon/keng/" TargetMode="External"/><Relationship Id="rId53" Type="http://schemas.openxmlformats.org/officeDocument/2006/relationships/hyperlink" Target="https://cofacts.tw/hack" TargetMode="External"/><Relationship Id="rId52" Type="http://schemas.openxmlformats.org/officeDocument/2006/relationships/hyperlink" Target="https://g0v.hackmd.io/OmYCPV5aSFKCgJUar7dGDQ" TargetMode="External"/><Relationship Id="rId11" Type="http://schemas.openxmlformats.org/officeDocument/2006/relationships/hyperlink" Target="https://g0v.hackmd.io/yOmr3hf7RDypNnAWRnw2gQ" TargetMode="External"/><Relationship Id="rId55" Type="http://schemas.openxmlformats.org/officeDocument/2006/relationships/hyperlink" Target="https://github.com/g0v/moedict-data-terms" TargetMode="External"/><Relationship Id="rId10" Type="http://schemas.openxmlformats.org/officeDocument/2006/relationships/hyperlink" Target="https://docs.google.com/presentation/d/1m6LF9LWBCuhzjCdxy8ejjjrEt8crnPcl9dqgg87mGfs/edit" TargetMode="External"/><Relationship Id="rId54" Type="http://schemas.openxmlformats.org/officeDocument/2006/relationships/hyperlink" Target="https://docs.google.com/presentation/d/1VGpMGe2nwPmlnxMVHeWCXsLaVGnKaM8bR-ltD2bB158/edit" TargetMode="External"/><Relationship Id="rId13" Type="http://schemas.openxmlformats.org/officeDocument/2006/relationships/hyperlink" Target="https://docs.google.com/presentation/d/16H9FBZ4c0gp0ph5zx9s5-s_SvsPsTmO7NIfqXqPluJg/edit?usp=sharing" TargetMode="External"/><Relationship Id="rId57" Type="http://schemas.openxmlformats.org/officeDocument/2006/relationships/hyperlink" Target="https://docs.google.com/presentation/d/1rDZx86FCnHH_EgKBoH0aRgBfZesZVzS2IORH4JTWjF0/" TargetMode="External"/><Relationship Id="rId12" Type="http://schemas.openxmlformats.org/officeDocument/2006/relationships/hyperlink" Target="https://g0v.hackmd.io/@ichieh/g0vsortinghat" TargetMode="External"/><Relationship Id="rId56" Type="http://schemas.openxmlformats.org/officeDocument/2006/relationships/hyperlink" Target="https://g0v.hackmd.io/yZd5nmZWRLqQ2R2kqvcNqg" TargetMode="External"/><Relationship Id="rId15" Type="http://schemas.openxmlformats.org/officeDocument/2006/relationships/hyperlink" Target="https://docs.google.com/presentation/d/1aT66uYwHGYqFmbuIp8ddKNXLoWoZijqHShHXL48EXYA/edit?usp=sharing" TargetMode="External"/><Relationship Id="rId59" Type="http://schemas.openxmlformats.org/officeDocument/2006/relationships/hyperlink" Target="https://mirusausiliq.com/" TargetMode="External"/><Relationship Id="rId14" Type="http://schemas.openxmlformats.org/officeDocument/2006/relationships/hyperlink" Target="https://g0v.hackmd.io/@noahyeh/rkwzDr-qs" TargetMode="External"/><Relationship Id="rId58" Type="http://schemas.openxmlformats.org/officeDocument/2006/relationships/hyperlink" Target="https://hackmd.io/@vnsjMGmYSLyo5v7BvmvGXA/BkUNKK0bh/edit" TargetMode="External"/><Relationship Id="rId17" Type="http://schemas.openxmlformats.org/officeDocument/2006/relationships/hyperlink" Target="https://g0v.hackmd.io/FrdfAMwoR7-w-m-UVqsJ1w" TargetMode="External"/><Relationship Id="rId16" Type="http://schemas.openxmlformats.org/officeDocument/2006/relationships/hyperlink" Target="https://g0v.hackmd.io/FrdfAMwoR7-w-m-UVqsJ1w" TargetMode="External"/><Relationship Id="rId19" Type="http://schemas.openxmlformats.org/officeDocument/2006/relationships/hyperlink" Target="https://g0v.hackmd.io/ImDuJ2MwSh2Cmia0WyWinA" TargetMode="External"/><Relationship Id="rId18" Type="http://schemas.openxmlformats.org/officeDocument/2006/relationships/hyperlink" Target="https://g0v.hackmd.io/6e06MbQuSkGxQpvKzMBIBQ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10.63"/>
    <col customWidth="1" min="6" max="6" width="6.13"/>
    <col customWidth="1" min="7" max="7" width="31.25"/>
    <col customWidth="1" min="8" max="8" width="28.13"/>
    <col customWidth="1" min="9" max="9" width="12.0"/>
    <col customWidth="1" min="10" max="10" width="23.25"/>
    <col customWidth="1" min="11" max="11" width="28.38"/>
    <col customWidth="1" min="12" max="12" width="17.5"/>
    <col customWidth="1" min="13" max="13" width="21.0"/>
    <col customWidth="1" min="14" max="14" width="22.5"/>
    <col customWidth="1" min="15" max="15" width="29.75"/>
    <col customWidth="1" min="16" max="16" width="15.5"/>
    <col customWidth="1" min="17" max="18" width="18.13"/>
  </cols>
  <sheetData>
    <row r="1" ht="23.25" hidden="1" customHeight="1">
      <c r="A1" s="1"/>
      <c r="O1" s="1"/>
      <c r="P1" s="2"/>
      <c r="Q1" s="2"/>
      <c r="R1" s="2"/>
    </row>
    <row r="2" ht="15.0" customHeight="1">
      <c r="A2" s="3"/>
      <c r="B2" s="3" t="s">
        <v>0</v>
      </c>
      <c r="C2" s="4" t="s">
        <v>1</v>
      </c>
      <c r="D2" s="3" t="s">
        <v>2</v>
      </c>
      <c r="E2" s="3" t="s">
        <v>3</v>
      </c>
      <c r="F2" s="5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6" t="s">
        <v>15</v>
      </c>
      <c r="R2" s="6"/>
    </row>
    <row r="3" ht="15.0" customHeight="1">
      <c r="A3" s="7" t="s">
        <v>16</v>
      </c>
      <c r="R3" s="7"/>
    </row>
    <row r="4" ht="15.0" customHeight="1">
      <c r="A4" s="8" t="s">
        <v>17</v>
      </c>
      <c r="O4" s="8"/>
      <c r="P4" s="8"/>
      <c r="Q4" s="8"/>
      <c r="R4" s="8"/>
    </row>
    <row r="5" ht="22.5" customHeight="1">
      <c r="A5" s="9">
        <v>1.0</v>
      </c>
      <c r="B5" s="10">
        <v>0.4097222222222222</v>
      </c>
      <c r="C5" s="11" t="s">
        <v>18</v>
      </c>
      <c r="D5" s="12" t="s">
        <v>19</v>
      </c>
      <c r="E5" s="12" t="s">
        <v>20</v>
      </c>
      <c r="F5" s="13" t="s">
        <v>21</v>
      </c>
      <c r="G5" s="12" t="s">
        <v>22</v>
      </c>
      <c r="H5" s="12" t="s">
        <v>22</v>
      </c>
      <c r="I5" s="12" t="s">
        <v>23</v>
      </c>
      <c r="J5" s="14" t="s">
        <v>24</v>
      </c>
      <c r="K5" s="15"/>
      <c r="L5" s="16"/>
      <c r="M5" s="12"/>
      <c r="N5" s="12"/>
      <c r="O5" s="12"/>
      <c r="P5" s="12"/>
      <c r="Q5" s="17"/>
      <c r="R5" s="17" t="str">
        <f t="shared" ref="R5:R24" si="1">"g0v tw hackath55n — 提案 — "&amp;G5&amp;" ／ "&amp;D5&amp;" — AI 也想參加黑客松"</f>
        <v>g0v tw hackath55n — 提案 — DARTA ／ HsinYao Wang — AI 也想參加黑客松</v>
      </c>
    </row>
    <row r="6" ht="15.0" customHeight="1">
      <c r="A6" s="9">
        <v>2.0</v>
      </c>
      <c r="B6" s="10">
        <v>0.41180555555555554</v>
      </c>
      <c r="C6" s="11" t="s">
        <v>18</v>
      </c>
      <c r="D6" s="12" t="s">
        <v>25</v>
      </c>
      <c r="E6" s="12" t="s">
        <v>20</v>
      </c>
      <c r="F6" s="13" t="s">
        <v>21</v>
      </c>
      <c r="G6" s="12" t="s">
        <v>26</v>
      </c>
      <c r="H6" s="12" t="s">
        <v>27</v>
      </c>
      <c r="I6" s="12" t="s">
        <v>23</v>
      </c>
      <c r="J6" s="18" t="s">
        <v>28</v>
      </c>
      <c r="K6" s="12"/>
      <c r="L6" s="16"/>
      <c r="M6" s="12"/>
      <c r="N6" s="19"/>
      <c r="O6" s="20" t="s">
        <v>29</v>
      </c>
      <c r="P6" s="12"/>
      <c r="Q6" s="17"/>
      <c r="R6" s="17" t="str">
        <f t="shared" si="1"/>
        <v>g0v tw hackath55n — 提案 — DA0-DeSci ／ Weiting — AI 也想參加黑客松</v>
      </c>
    </row>
    <row r="7" ht="15.0" customHeight="1">
      <c r="A7" s="9">
        <v>3.0</v>
      </c>
      <c r="B7" s="10">
        <v>0.41388888888888886</v>
      </c>
      <c r="C7" s="11" t="s">
        <v>18</v>
      </c>
      <c r="D7" s="12" t="s">
        <v>30</v>
      </c>
      <c r="E7" s="12" t="s">
        <v>31</v>
      </c>
      <c r="F7" s="13" t="s">
        <v>21</v>
      </c>
      <c r="G7" s="12" t="s">
        <v>32</v>
      </c>
      <c r="H7" s="12" t="s">
        <v>33</v>
      </c>
      <c r="I7" s="12" t="s">
        <v>23</v>
      </c>
      <c r="J7" s="21" t="s">
        <v>34</v>
      </c>
      <c r="K7" s="21" t="s">
        <v>35</v>
      </c>
      <c r="L7" s="16" t="s">
        <v>21</v>
      </c>
      <c r="M7" s="19"/>
      <c r="N7" s="19"/>
      <c r="O7" s="19"/>
      <c r="P7" s="12"/>
      <c r="Q7" s="17"/>
      <c r="R7" s="17" t="str">
        <f t="shared" si="1"/>
        <v>g0v tw hackath55n — 提案 — Gl0bal ／ Skyler — AI 也想參加黑客松</v>
      </c>
    </row>
    <row r="8" ht="15.0" customHeight="1">
      <c r="A8" s="9">
        <v>4.0</v>
      </c>
      <c r="B8" s="10">
        <v>0.41597222222222224</v>
      </c>
      <c r="C8" s="11" t="s">
        <v>18</v>
      </c>
      <c r="D8" s="12" t="s">
        <v>36</v>
      </c>
      <c r="E8" s="12" t="s">
        <v>31</v>
      </c>
      <c r="F8" s="13" t="s">
        <v>21</v>
      </c>
      <c r="G8" s="12" t="s">
        <v>37</v>
      </c>
      <c r="H8" s="12" t="s">
        <v>38</v>
      </c>
      <c r="I8" s="12"/>
      <c r="J8" s="22" t="s">
        <v>39</v>
      </c>
      <c r="K8" s="21" t="s">
        <v>40</v>
      </c>
      <c r="L8" s="16" t="s">
        <v>21</v>
      </c>
      <c r="M8" s="19"/>
      <c r="N8" s="12" t="s">
        <v>41</v>
      </c>
      <c r="O8" s="23" t="s">
        <v>42</v>
      </c>
      <c r="P8" s="21" t="s">
        <v>43</v>
      </c>
      <c r="R8" s="17" t="str">
        <f t="shared" si="1"/>
        <v>g0v tw hackath55n — 提案 — 選前大補帖 ／ Charlie — AI 也想參加黑客松</v>
      </c>
    </row>
    <row r="9" ht="15.0" customHeight="1">
      <c r="A9" s="9">
        <v>5.0</v>
      </c>
      <c r="B9" s="10">
        <v>0.41805555555555557</v>
      </c>
      <c r="C9" s="11" t="s">
        <v>18</v>
      </c>
      <c r="D9" s="12" t="s">
        <v>44</v>
      </c>
      <c r="E9" s="12" t="s">
        <v>31</v>
      </c>
      <c r="F9" s="13" t="s">
        <v>21</v>
      </c>
      <c r="G9" s="12" t="s">
        <v>45</v>
      </c>
      <c r="H9" s="12" t="s">
        <v>46</v>
      </c>
      <c r="I9" s="12" t="s">
        <v>23</v>
      </c>
      <c r="J9" s="12"/>
      <c r="K9" s="21" t="s">
        <v>47</v>
      </c>
      <c r="L9" s="16" t="s">
        <v>21</v>
      </c>
      <c r="M9" s="12" t="s">
        <v>48</v>
      </c>
      <c r="N9" s="12"/>
      <c r="O9" s="23" t="s">
        <v>49</v>
      </c>
      <c r="P9" s="21" t="s">
        <v>50</v>
      </c>
      <c r="Q9" s="17"/>
      <c r="R9" s="17" t="str">
        <f t="shared" si="1"/>
        <v>g0v tw hackath55n — 提案 — DeSci-pRoots ／ Tim — AI 也想參加黑客松</v>
      </c>
    </row>
    <row r="10" ht="15.0" customHeight="1">
      <c r="A10" s="9">
        <v>6.0</v>
      </c>
      <c r="B10" s="10">
        <v>0.4201388888888889</v>
      </c>
      <c r="C10" s="11" t="s">
        <v>18</v>
      </c>
      <c r="D10" s="12" t="s">
        <v>51</v>
      </c>
      <c r="E10" s="12" t="s">
        <v>20</v>
      </c>
      <c r="F10" s="13" t="s">
        <v>21</v>
      </c>
      <c r="G10" s="12" t="s">
        <v>52</v>
      </c>
      <c r="H10" s="12" t="s">
        <v>53</v>
      </c>
      <c r="I10" s="12" t="s">
        <v>54</v>
      </c>
      <c r="J10" s="19" t="s">
        <v>55</v>
      </c>
      <c r="K10" s="21" t="s">
        <v>56</v>
      </c>
      <c r="L10" s="24" t="s">
        <v>21</v>
      </c>
      <c r="M10" s="25" t="s">
        <v>57</v>
      </c>
      <c r="N10" s="12" t="s">
        <v>58</v>
      </c>
      <c r="O10" s="12"/>
      <c r="P10" s="12"/>
      <c r="Q10" s="17"/>
      <c r="R10" s="17" t="str">
        <f t="shared" si="1"/>
        <v>g0v tw hackath55n — 提案 — Sch001 - AI ／ Isabel — AI 也想參加黑客松</v>
      </c>
    </row>
    <row r="11" ht="18.0" customHeight="1">
      <c r="A11" s="9">
        <v>7.0</v>
      </c>
      <c r="B11" s="10">
        <v>0.4222222222222222</v>
      </c>
      <c r="C11" s="11" t="s">
        <v>18</v>
      </c>
      <c r="D11" s="12" t="s">
        <v>59</v>
      </c>
      <c r="E11" s="12" t="s">
        <v>20</v>
      </c>
      <c r="F11" s="13" t="s">
        <v>21</v>
      </c>
      <c r="G11" s="12" t="s">
        <v>60</v>
      </c>
      <c r="H11" s="12" t="s">
        <v>61</v>
      </c>
      <c r="I11" s="12"/>
      <c r="J11" s="21" t="s">
        <v>62</v>
      </c>
      <c r="K11" s="18" t="s">
        <v>63</v>
      </c>
      <c r="L11" s="26" t="s">
        <v>21</v>
      </c>
      <c r="M11" s="9" t="s">
        <v>64</v>
      </c>
      <c r="N11" s="12" t="s">
        <v>65</v>
      </c>
      <c r="O11" s="12"/>
      <c r="P11" s="12"/>
      <c r="Q11" s="17"/>
      <c r="R11" s="17" t="str">
        <f t="shared" si="1"/>
        <v>g0v tw hackath55n — 提案 — g0v AI 分類帽 ／ ichieh — AI 也想參加黑客松</v>
      </c>
    </row>
    <row r="12" ht="15.0" customHeight="1">
      <c r="A12" s="9">
        <v>8.0</v>
      </c>
      <c r="B12" s="10">
        <v>0.42430555555555555</v>
      </c>
      <c r="C12" s="11" t="s">
        <v>18</v>
      </c>
      <c r="D12" s="12" t="s">
        <v>66</v>
      </c>
      <c r="E12" s="12" t="s">
        <v>20</v>
      </c>
      <c r="F12" s="13" t="s">
        <v>21</v>
      </c>
      <c r="G12" s="12" t="s">
        <v>67</v>
      </c>
      <c r="H12" s="12" t="s">
        <v>68</v>
      </c>
      <c r="I12" s="12" t="s">
        <v>69</v>
      </c>
      <c r="J12" s="19"/>
      <c r="K12" s="18" t="s">
        <v>70</v>
      </c>
      <c r="L12" s="16"/>
      <c r="M12" s="19"/>
      <c r="N12" s="19"/>
      <c r="O12" s="19"/>
      <c r="P12" s="12"/>
      <c r="Q12" s="17"/>
      <c r="R12" s="17" t="str">
        <f t="shared" si="1"/>
        <v>g0v tw hackath55n — 提案 — 批踢踢不能亡 ／ Teemo — AI 也想參加黑客松</v>
      </c>
    </row>
    <row r="13" ht="15.0" customHeight="1">
      <c r="A13" s="9">
        <v>9.0</v>
      </c>
      <c r="B13" s="10">
        <v>0.4263888888888889</v>
      </c>
      <c r="C13" s="11" t="s">
        <v>18</v>
      </c>
      <c r="D13" s="12" t="s">
        <v>71</v>
      </c>
      <c r="E13" s="12" t="s">
        <v>20</v>
      </c>
      <c r="F13" s="13" t="s">
        <v>21</v>
      </c>
      <c r="G13" s="12" t="s">
        <v>72</v>
      </c>
      <c r="H13" s="12" t="s">
        <v>73</v>
      </c>
      <c r="I13" s="27" t="s">
        <v>54</v>
      </c>
      <c r="J13" s="18" t="s">
        <v>74</v>
      </c>
      <c r="K13" s="21" t="s">
        <v>75</v>
      </c>
      <c r="L13" s="16"/>
      <c r="M13" s="12"/>
      <c r="N13" s="12"/>
      <c r="O13" s="12"/>
      <c r="P13" s="12"/>
      <c r="Q13" s="17"/>
      <c r="R13" s="17" t="str">
        <f t="shared" si="1"/>
        <v>g0v tw hackath55n — 提案 — ZKP與公民科技 ／ peter — AI 也想參加黑客松</v>
      </c>
    </row>
    <row r="14" ht="15.0" customHeight="1">
      <c r="A14" s="9">
        <v>10.0</v>
      </c>
      <c r="B14" s="10">
        <v>0.4284722222222222</v>
      </c>
      <c r="C14" s="11" t="s">
        <v>18</v>
      </c>
      <c r="D14" s="12" t="s">
        <v>76</v>
      </c>
      <c r="E14" s="12" t="s">
        <v>20</v>
      </c>
      <c r="F14" s="13" t="s">
        <v>21</v>
      </c>
      <c r="G14" s="12" t="s">
        <v>77</v>
      </c>
      <c r="H14" s="12" t="s">
        <v>78</v>
      </c>
      <c r="I14" s="12" t="s">
        <v>79</v>
      </c>
      <c r="J14" s="21" t="s">
        <v>80</v>
      </c>
      <c r="K14" s="21" t="s">
        <v>80</v>
      </c>
      <c r="L14" s="16" t="s">
        <v>21</v>
      </c>
      <c r="M14" s="19" t="s">
        <v>81</v>
      </c>
      <c r="N14" s="19" t="s">
        <v>82</v>
      </c>
      <c r="O14" s="19" t="s">
        <v>83</v>
      </c>
      <c r="P14" s="12"/>
      <c r="R14" s="17" t="str">
        <f t="shared" si="1"/>
        <v>g0v tw hackath55n — 提案 — 永續捐贈議題 ／ Huanry — AI 也想參加黑客松</v>
      </c>
    </row>
    <row r="15" ht="15.0" customHeight="1">
      <c r="A15" s="9">
        <v>11.0</v>
      </c>
      <c r="B15" s="10">
        <v>0.4305555555555556</v>
      </c>
      <c r="C15" s="11" t="s">
        <v>18</v>
      </c>
      <c r="D15" s="28" t="s">
        <v>84</v>
      </c>
      <c r="E15" s="12" t="s">
        <v>20</v>
      </c>
      <c r="F15" s="13" t="s">
        <v>21</v>
      </c>
      <c r="G15" s="29" t="s">
        <v>85</v>
      </c>
      <c r="H15" s="30" t="s">
        <v>86</v>
      </c>
      <c r="I15" s="27"/>
      <c r="J15" s="21" t="s">
        <v>87</v>
      </c>
      <c r="K15" s="21" t="s">
        <v>88</v>
      </c>
      <c r="L15" s="31" t="s">
        <v>89</v>
      </c>
      <c r="M15" s="12" t="s">
        <v>90</v>
      </c>
      <c r="N15" s="12" t="s">
        <v>91</v>
      </c>
      <c r="O15" s="12" t="s">
        <v>92</v>
      </c>
      <c r="P15" s="12"/>
      <c r="Q15" s="17"/>
      <c r="R15" s="17" t="str">
        <f t="shared" si="1"/>
        <v>g0v tw hackath55n — 提案 — g0v Summit ／ pm5 — AI 也想參加黑客松</v>
      </c>
    </row>
    <row r="16" ht="15.0" customHeight="1">
      <c r="A16" s="9">
        <v>12.0</v>
      </c>
      <c r="B16" s="10">
        <v>0.4326388888888889</v>
      </c>
      <c r="C16" s="11" t="s">
        <v>18</v>
      </c>
      <c r="D16" s="9" t="s">
        <v>93</v>
      </c>
      <c r="E16" s="12" t="s">
        <v>20</v>
      </c>
      <c r="F16" s="13" t="s">
        <v>21</v>
      </c>
      <c r="G16" s="32" t="s">
        <v>94</v>
      </c>
      <c r="H16" s="32" t="s">
        <v>95</v>
      </c>
      <c r="I16" s="27" t="s">
        <v>96</v>
      </c>
      <c r="J16" s="33" t="s">
        <v>97</v>
      </c>
      <c r="K16" s="34" t="s">
        <v>98</v>
      </c>
      <c r="L16" s="26" t="s">
        <v>21</v>
      </c>
      <c r="M16" s="12" t="s">
        <v>99</v>
      </c>
      <c r="N16" s="12" t="s">
        <v>100</v>
      </c>
      <c r="O16" s="12" t="s">
        <v>101</v>
      </c>
      <c r="P16" s="12"/>
      <c r="Q16" s="17"/>
      <c r="R16" s="17" t="str">
        <f t="shared" si="1"/>
        <v>g0v tw hackath55n — 提案 — 坑主小聚 ／ chewei — AI 也想參加黑客松</v>
      </c>
    </row>
    <row r="17" ht="15.0" customHeight="1">
      <c r="A17" s="9">
        <v>13.0</v>
      </c>
      <c r="B17" s="10">
        <v>0.43472222222222223</v>
      </c>
      <c r="C17" s="11" t="s">
        <v>18</v>
      </c>
      <c r="D17" s="27" t="s">
        <v>102</v>
      </c>
      <c r="E17" s="35" t="s">
        <v>20</v>
      </c>
      <c r="F17" s="36" t="s">
        <v>21</v>
      </c>
      <c r="G17" s="35" t="s">
        <v>103</v>
      </c>
      <c r="H17" s="27" t="s">
        <v>104</v>
      </c>
      <c r="I17" s="35" t="s">
        <v>105</v>
      </c>
      <c r="J17" s="37" t="s">
        <v>106</v>
      </c>
      <c r="K17" s="38" t="s">
        <v>107</v>
      </c>
      <c r="L17" s="26" t="s">
        <v>21</v>
      </c>
      <c r="M17" s="27" t="s">
        <v>108</v>
      </c>
      <c r="N17" s="35" t="s">
        <v>109</v>
      </c>
      <c r="O17" s="35" t="s">
        <v>110</v>
      </c>
      <c r="P17" s="12"/>
      <c r="Q17" s="17"/>
      <c r="R17" s="17" t="str">
        <f t="shared" si="1"/>
        <v>g0v tw hackath55n — 提案 — Cofacts 真的假的 ／ bil — AI 也想參加黑客松</v>
      </c>
    </row>
    <row r="18" ht="15.0" customHeight="1">
      <c r="A18" s="9">
        <v>14.0</v>
      </c>
      <c r="B18" s="10">
        <v>0.43680555555555556</v>
      </c>
      <c r="C18" s="11" t="s">
        <v>18</v>
      </c>
      <c r="D18" s="12" t="s">
        <v>111</v>
      </c>
      <c r="E18" s="39" t="s">
        <v>20</v>
      </c>
      <c r="F18" s="13"/>
      <c r="G18" s="12" t="s">
        <v>112</v>
      </c>
      <c r="H18" s="40" t="s">
        <v>113</v>
      </c>
      <c r="I18" s="12" t="s">
        <v>69</v>
      </c>
      <c r="J18" s="41" t="s">
        <v>114</v>
      </c>
      <c r="K18" s="41" t="s">
        <v>115</v>
      </c>
      <c r="L18" s="16" t="s">
        <v>21</v>
      </c>
      <c r="M18" s="12" t="s">
        <v>116</v>
      </c>
      <c r="N18" s="12" t="s">
        <v>117</v>
      </c>
      <c r="O18" s="12" t="s">
        <v>118</v>
      </c>
      <c r="P18" s="12"/>
      <c r="Q18" s="17"/>
      <c r="R18" s="17" t="str">
        <f t="shared" si="1"/>
        <v>g0v tw hackath55n — 提案 — new safeID
換掉外洩的證號
(居然候補到了好感動) ／ Paul — AI 也想參加黑客松</v>
      </c>
    </row>
    <row r="19" ht="15.0" customHeight="1">
      <c r="A19" s="9">
        <v>15.0</v>
      </c>
      <c r="B19" s="10">
        <v>0.4388888888888889</v>
      </c>
      <c r="C19" s="11"/>
      <c r="D19" s="12" t="s">
        <v>119</v>
      </c>
      <c r="E19" s="12" t="s">
        <v>31</v>
      </c>
      <c r="F19" s="13" t="s">
        <v>21</v>
      </c>
      <c r="G19" s="12" t="s">
        <v>120</v>
      </c>
      <c r="H19" s="12" t="s">
        <v>121</v>
      </c>
      <c r="I19" s="42"/>
      <c r="J19" s="21" t="s">
        <v>122</v>
      </c>
      <c r="K19" s="21" t="s">
        <v>123</v>
      </c>
      <c r="L19" s="16"/>
      <c r="M19" s="12"/>
      <c r="N19" s="12"/>
      <c r="O19" s="12" t="s">
        <v>124</v>
      </c>
      <c r="P19" s="12"/>
      <c r="Q19" s="17"/>
      <c r="R19" s="17" t="str">
        <f t="shared" si="1"/>
        <v>g0v tw hackath55n — 提案 — OpenLab Mapping ／ Jonathan — AI 也想參加黑客松</v>
      </c>
    </row>
    <row r="20" ht="15.0" customHeight="1">
      <c r="A20" s="12">
        <v>16.0</v>
      </c>
      <c r="B20" s="43">
        <v>0.4409722222222222</v>
      </c>
      <c r="C20" s="11"/>
      <c r="D20" s="12" t="s">
        <v>125</v>
      </c>
      <c r="E20" s="12" t="s">
        <v>20</v>
      </c>
      <c r="F20" s="13" t="s">
        <v>126</v>
      </c>
      <c r="G20" s="12" t="s">
        <v>127</v>
      </c>
      <c r="H20" s="12" t="s">
        <v>128</v>
      </c>
      <c r="I20" s="12"/>
      <c r="J20" s="21" t="s">
        <v>129</v>
      </c>
      <c r="K20" s="21" t="s">
        <v>130</v>
      </c>
      <c r="L20" s="16" t="s">
        <v>126</v>
      </c>
      <c r="M20" s="12"/>
      <c r="N20" s="12"/>
      <c r="O20" s="12" t="s">
        <v>131</v>
      </c>
      <c r="P20" s="12"/>
      <c r="Q20" s="44" t="s">
        <v>132</v>
      </c>
      <c r="R20" s="17" t="str">
        <f t="shared" si="1"/>
        <v>g0v tw hackath55n — 提案 — 咖啡閒談 ／ 原味 (其磊) — AI 也想參加黑客松</v>
      </c>
    </row>
    <row r="21" ht="15.0" customHeight="1">
      <c r="A21" s="12"/>
      <c r="B21" s="43"/>
      <c r="C21" s="11"/>
      <c r="D21" s="45" t="s">
        <v>133</v>
      </c>
      <c r="E21" s="12"/>
      <c r="F21" s="13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7"/>
      <c r="R21" s="17" t="str">
        <f t="shared" si="1"/>
        <v>g0v tw hackath55n — 提案 —  ／ == 截止 == — AI 也想參加黑客松</v>
      </c>
    </row>
    <row r="22" ht="15.0" customHeight="1">
      <c r="A22" s="46"/>
      <c r="B22" s="47" t="s">
        <v>134</v>
      </c>
      <c r="C22" s="47"/>
      <c r="D22" s="48" t="s">
        <v>135</v>
      </c>
      <c r="E22" s="49" t="s">
        <v>20</v>
      </c>
      <c r="F22" s="47" t="s">
        <v>21</v>
      </c>
      <c r="G22" s="46" t="s">
        <v>136</v>
      </c>
      <c r="H22" s="46" t="s">
        <v>136</v>
      </c>
      <c r="I22" s="46"/>
      <c r="J22" s="50" t="s">
        <v>137</v>
      </c>
      <c r="K22" s="46"/>
      <c r="L22" s="47" t="s">
        <v>21</v>
      </c>
      <c r="M22" s="46" t="s">
        <v>138</v>
      </c>
      <c r="N22" s="46"/>
      <c r="O22" s="46"/>
      <c r="P22" s="46"/>
      <c r="Q22" s="51"/>
      <c r="R22" s="17" t="str">
        <f t="shared" si="1"/>
        <v>g0v tw hackath55n — 提案 — 林茲電子藝術節黑客松 ／ Noah — AI 也想參加黑客松</v>
      </c>
    </row>
    <row r="23" ht="15.0" customHeight="1">
      <c r="A23" s="46"/>
      <c r="B23" s="47" t="s">
        <v>134</v>
      </c>
      <c r="C23" s="47"/>
      <c r="D23" s="46" t="s">
        <v>139</v>
      </c>
      <c r="E23" s="52" t="s">
        <v>20</v>
      </c>
      <c r="F23" s="47"/>
      <c r="G23" s="46" t="s">
        <v>140</v>
      </c>
      <c r="H23" s="46" t="s">
        <v>141</v>
      </c>
      <c r="I23" s="46"/>
      <c r="J23" s="46"/>
      <c r="K23" s="53" t="s">
        <v>142</v>
      </c>
      <c r="L23" s="47" t="s">
        <v>21</v>
      </c>
      <c r="M23" s="46" t="s">
        <v>143</v>
      </c>
      <c r="N23" s="46" t="s">
        <v>144</v>
      </c>
      <c r="O23" s="46"/>
      <c r="P23" s="46"/>
      <c r="Q23" s="51"/>
      <c r="R23" s="17" t="str">
        <f t="shared" si="1"/>
        <v>g0v tw hackath55n — 提案 — PrideWatch  ／ 嗡嗡 — AI 也想參加黑客松</v>
      </c>
    </row>
    <row r="24" ht="15.0" customHeight="1">
      <c r="A24" s="46"/>
      <c r="B24" s="47" t="s">
        <v>134</v>
      </c>
      <c r="C24" s="47"/>
      <c r="D24" s="46" t="s">
        <v>145</v>
      </c>
      <c r="E24" s="52" t="s">
        <v>20</v>
      </c>
      <c r="F24" s="47" t="s">
        <v>21</v>
      </c>
      <c r="G24" s="46" t="s">
        <v>146</v>
      </c>
      <c r="H24" s="46" t="s">
        <v>147</v>
      </c>
      <c r="I24" s="46" t="s">
        <v>148</v>
      </c>
      <c r="J24" s="53" t="s">
        <v>149</v>
      </c>
      <c r="K24" s="53" t="s">
        <v>150</v>
      </c>
      <c r="L24" s="47" t="s">
        <v>21</v>
      </c>
      <c r="M24" s="54" t="s">
        <v>151</v>
      </c>
      <c r="N24" s="55" t="s">
        <v>152</v>
      </c>
      <c r="O24" s="53" t="s">
        <v>153</v>
      </c>
      <c r="P24" s="46"/>
      <c r="Q24" s="51"/>
      <c r="R24" s="17" t="str">
        <f t="shared" si="1"/>
        <v>g0v tw hackath55n — 提案 — Irvin
[工商服務] 摩茲工寮實體 hackerspace 歡迎免費申請使用： moztw.space  ／ Irvin — AI 也想參加黑客松</v>
      </c>
    </row>
    <row r="25" ht="31.5" customHeight="1">
      <c r="A25" s="56" t="s">
        <v>154</v>
      </c>
      <c r="R25" s="56"/>
    </row>
    <row r="26" ht="15.0" customHeight="1">
      <c r="A26" s="7" t="s">
        <v>155</v>
      </c>
      <c r="R26" s="7"/>
    </row>
    <row r="27" ht="15.0" customHeight="1">
      <c r="A27" s="6" t="s">
        <v>156</v>
      </c>
      <c r="B27" s="3" t="s">
        <v>0</v>
      </c>
      <c r="C27" s="4" t="s">
        <v>1</v>
      </c>
      <c r="D27" s="3" t="s">
        <v>2</v>
      </c>
      <c r="E27" s="6"/>
      <c r="F27" s="5" t="s">
        <v>157</v>
      </c>
      <c r="G27" s="3" t="s">
        <v>5</v>
      </c>
      <c r="H27" s="3" t="s">
        <v>6</v>
      </c>
      <c r="I27" s="57"/>
      <c r="J27" s="6"/>
      <c r="K27" s="3" t="s">
        <v>158</v>
      </c>
      <c r="L27" s="3" t="s">
        <v>10</v>
      </c>
      <c r="M27" s="3" t="s">
        <v>159</v>
      </c>
      <c r="N27" s="3" t="s">
        <v>12</v>
      </c>
      <c r="O27" s="3" t="s">
        <v>13</v>
      </c>
      <c r="P27" s="57"/>
      <c r="Q27" s="57"/>
      <c r="R27" s="57"/>
    </row>
    <row r="28" ht="15.0" customHeight="1">
      <c r="A28" s="58">
        <v>1.0</v>
      </c>
      <c r="B28" s="43">
        <v>0.6041666666666666</v>
      </c>
      <c r="C28" s="11"/>
      <c r="D28" s="12" t="s">
        <v>160</v>
      </c>
      <c r="E28" s="12" t="s">
        <v>20</v>
      </c>
      <c r="F28" s="13"/>
      <c r="G28" s="12" t="s">
        <v>161</v>
      </c>
      <c r="H28" s="12" t="s">
        <v>161</v>
      </c>
      <c r="I28" s="12"/>
      <c r="J28" s="19"/>
      <c r="K28" s="59" t="s">
        <v>162</v>
      </c>
      <c r="L28" s="60"/>
      <c r="M28" s="19"/>
      <c r="N28" s="12"/>
      <c r="O28" s="12"/>
      <c r="P28" s="28"/>
      <c r="Q28" s="61"/>
      <c r="R28" s="17" t="str">
        <f t="shared" ref="R28:R31" si="2">"g0v tw hackath55n — 中場短講 — "&amp;G28&amp;" ／ "&amp;D28&amp;" — AI 也想參加黑客松"</f>
        <v>g0v tw hackath55n — 中場短講 — Mozilla Festival ／ Nick — AI 也想參加黑客松</v>
      </c>
    </row>
    <row r="29" ht="15.0" customHeight="1">
      <c r="A29" s="58">
        <v>2.0</v>
      </c>
      <c r="B29" s="43">
        <v>0.6111111111111112</v>
      </c>
      <c r="C29" s="11"/>
      <c r="D29" s="28" t="s">
        <v>66</v>
      </c>
      <c r="E29" s="12" t="s">
        <v>20</v>
      </c>
      <c r="F29" s="13"/>
      <c r="G29" s="28" t="s">
        <v>163</v>
      </c>
      <c r="H29" s="28" t="s">
        <v>164</v>
      </c>
      <c r="I29" s="12"/>
      <c r="J29" s="28"/>
      <c r="K29" s="62" t="s">
        <v>164</v>
      </c>
      <c r="L29" s="11"/>
      <c r="M29" s="28"/>
      <c r="N29" s="12"/>
      <c r="O29" s="12"/>
      <c r="P29" s="28"/>
      <c r="Q29" s="61"/>
      <c r="R29" s="17" t="str">
        <f t="shared" si="2"/>
        <v>g0v tw hackath55n — 中場短講 — InkRosetta ／ Teemo — AI 也想參加黑客松</v>
      </c>
    </row>
    <row r="30" ht="15.0" customHeight="1">
      <c r="A30" s="11">
        <v>3.0</v>
      </c>
      <c r="B30" s="63">
        <v>0.6180555555555556</v>
      </c>
      <c r="C30" s="61"/>
      <c r="D30" s="25" t="s">
        <v>165</v>
      </c>
      <c r="E30" s="28" t="s">
        <v>20</v>
      </c>
      <c r="F30" s="13" t="s">
        <v>21</v>
      </c>
      <c r="G30" s="28" t="s">
        <v>166</v>
      </c>
      <c r="H30" s="28" t="s">
        <v>167</v>
      </c>
      <c r="I30" s="64"/>
      <c r="J30" s="65" t="s">
        <v>168</v>
      </c>
      <c r="K30" s="59" t="s">
        <v>169</v>
      </c>
      <c r="L30" s="11" t="s">
        <v>21</v>
      </c>
      <c r="M30" s="66" t="s">
        <v>170</v>
      </c>
      <c r="N30" s="61"/>
      <c r="O30" s="28" t="s">
        <v>171</v>
      </c>
      <c r="P30" s="28"/>
      <c r="Q30" s="61"/>
      <c r="R30" s="17" t="str">
        <f t="shared" si="2"/>
        <v>g0v tw hackath55n — 中場短講 — Presidential Hackathon International Track ／ 邱政維(Daniel) — AI 也想參加黑客松</v>
      </c>
    </row>
    <row r="31" ht="15.0" customHeight="1">
      <c r="A31" s="11">
        <v>4.0</v>
      </c>
      <c r="B31" s="43">
        <v>0.625</v>
      </c>
      <c r="C31" s="11"/>
      <c r="D31" s="12" t="s">
        <v>172</v>
      </c>
      <c r="E31" s="12" t="s">
        <v>31</v>
      </c>
      <c r="F31" s="13" t="s">
        <v>21</v>
      </c>
      <c r="G31" s="12" t="s">
        <v>173</v>
      </c>
      <c r="H31" s="12" t="s">
        <v>174</v>
      </c>
      <c r="I31" s="12" t="s">
        <v>175</v>
      </c>
      <c r="J31" s="21" t="s">
        <v>176</v>
      </c>
      <c r="K31" s="67" t="s">
        <v>177</v>
      </c>
      <c r="L31" s="60"/>
      <c r="M31" s="19"/>
      <c r="N31" s="19"/>
      <c r="O31" s="19" t="s">
        <v>178</v>
      </c>
      <c r="P31" s="19"/>
      <c r="R31" s="17" t="str">
        <f t="shared" si="2"/>
        <v>g0v tw hackath55n — 中場短講 — g0v.london ／ ael — AI 也想參加黑客松</v>
      </c>
    </row>
    <row r="32" ht="15.0" customHeight="1">
      <c r="A32" s="68"/>
      <c r="B32" s="69" t="s">
        <v>179</v>
      </c>
      <c r="C32" s="70"/>
      <c r="D32" s="71" t="s">
        <v>133</v>
      </c>
      <c r="E32" s="69"/>
      <c r="F32" s="70"/>
      <c r="G32" s="72"/>
      <c r="H32" s="72"/>
      <c r="I32" s="68"/>
      <c r="J32" s="68"/>
      <c r="K32" s="68"/>
      <c r="L32" s="70"/>
      <c r="M32" s="68"/>
      <c r="N32" s="68"/>
      <c r="O32" s="68"/>
      <c r="P32" s="72"/>
      <c r="Q32" s="68"/>
      <c r="R32" s="68"/>
    </row>
    <row r="33" ht="15.0" customHeight="1">
      <c r="A33" s="68"/>
      <c r="B33" s="73"/>
      <c r="C33" s="70"/>
      <c r="D33" s="74"/>
      <c r="E33" s="74"/>
      <c r="F33" s="70"/>
      <c r="G33" s="68"/>
      <c r="H33" s="68"/>
      <c r="I33" s="68"/>
      <c r="J33" s="68"/>
      <c r="K33" s="68"/>
      <c r="L33" s="70"/>
      <c r="M33" s="68"/>
      <c r="N33" s="68"/>
      <c r="O33" s="68"/>
      <c r="P33" s="68"/>
      <c r="Q33" s="68"/>
      <c r="R33" s="68"/>
    </row>
    <row r="34" ht="15.0" customHeight="1">
      <c r="A34" s="7" t="s">
        <v>180</v>
      </c>
      <c r="R34" s="7"/>
    </row>
    <row r="35" ht="15.0" customHeight="1">
      <c r="A35" s="3"/>
      <c r="B35" s="3" t="s">
        <v>0</v>
      </c>
      <c r="C35" s="4" t="s">
        <v>1</v>
      </c>
      <c r="D35" s="3" t="s">
        <v>2</v>
      </c>
      <c r="E35" s="3" t="s">
        <v>3</v>
      </c>
      <c r="F35" s="5" t="s">
        <v>4</v>
      </c>
      <c r="G35" s="3" t="s">
        <v>5</v>
      </c>
      <c r="H35" s="3" t="s">
        <v>6</v>
      </c>
      <c r="I35" s="3" t="s">
        <v>7</v>
      </c>
      <c r="J35" s="3" t="s">
        <v>8</v>
      </c>
      <c r="K35" s="3" t="s">
        <v>9</v>
      </c>
      <c r="L35" s="3" t="s">
        <v>10</v>
      </c>
      <c r="M35" s="3" t="s">
        <v>11</v>
      </c>
      <c r="N35" s="3" t="s">
        <v>12</v>
      </c>
      <c r="O35" s="3" t="s">
        <v>13</v>
      </c>
      <c r="P35" s="3" t="s">
        <v>14</v>
      </c>
      <c r="Q35" s="6" t="s">
        <v>15</v>
      </c>
      <c r="R35" s="6"/>
    </row>
    <row r="36" ht="15.0" customHeight="1">
      <c r="A36" s="75">
        <v>1.0</v>
      </c>
      <c r="B36" s="76">
        <v>0.6666666666666666</v>
      </c>
      <c r="C36" s="11"/>
      <c r="D36" s="12" t="s">
        <v>181</v>
      </c>
      <c r="E36" s="12" t="s">
        <v>20</v>
      </c>
      <c r="F36" s="13"/>
      <c r="G36" s="12" t="s">
        <v>60</v>
      </c>
      <c r="H36" s="12" t="s">
        <v>61</v>
      </c>
      <c r="I36" s="12"/>
      <c r="J36" s="21" t="s">
        <v>62</v>
      </c>
      <c r="K36" s="18" t="s">
        <v>63</v>
      </c>
      <c r="L36" s="11"/>
      <c r="M36" s="12"/>
      <c r="N36" s="12"/>
      <c r="O36" s="12"/>
      <c r="P36" s="12"/>
      <c r="Q36" s="12"/>
      <c r="R36" s="17" t="str">
        <f t="shared" ref="R36:R47" si="3">"g0v tw hackath55n — 成果報告 — "&amp;G36&amp;" ／ "&amp;D36&amp;" — AI 也想參加黑客松"</f>
        <v>g0v tw hackath55n — 成果報告 — g0v AI 分類帽 ／ 張郁 — AI 也想參加黑客松</v>
      </c>
    </row>
    <row r="37" ht="15.0" customHeight="1">
      <c r="A37" s="75">
        <v>2.0</v>
      </c>
      <c r="B37" s="77">
        <v>0.6701388888888888</v>
      </c>
      <c r="C37" s="11"/>
      <c r="D37" s="12" t="s">
        <v>182</v>
      </c>
      <c r="E37" s="12" t="s">
        <v>20</v>
      </c>
      <c r="F37" s="13" t="s">
        <v>21</v>
      </c>
      <c r="G37" s="12" t="s">
        <v>183</v>
      </c>
      <c r="H37" s="12" t="s">
        <v>184</v>
      </c>
      <c r="I37" s="12" t="s">
        <v>148</v>
      </c>
      <c r="J37" s="12"/>
      <c r="K37" s="21" t="s">
        <v>185</v>
      </c>
      <c r="L37" s="11" t="s">
        <v>21</v>
      </c>
      <c r="M37" s="39" t="s">
        <v>151</v>
      </c>
      <c r="N37" s="12" t="s">
        <v>152</v>
      </c>
      <c r="O37" s="21" t="s">
        <v>186</v>
      </c>
      <c r="P37" s="12"/>
      <c r="Q37" s="17"/>
      <c r="R37" s="17" t="str">
        <f t="shared" si="3"/>
        <v>g0v tw hackath55n — 成果報告 — Common Voice / CC0句庫 ／ irvin — AI 也想參加黑客松</v>
      </c>
    </row>
    <row r="38" ht="15.0" customHeight="1">
      <c r="A38" s="75">
        <v>3.0</v>
      </c>
      <c r="B38" s="77">
        <v>0.6736111111111112</v>
      </c>
      <c r="C38" s="11"/>
      <c r="D38" s="12" t="s">
        <v>187</v>
      </c>
      <c r="E38" s="12"/>
      <c r="F38" s="13"/>
      <c r="G38" s="12" t="s">
        <v>188</v>
      </c>
      <c r="H38" s="12" t="s">
        <v>189</v>
      </c>
      <c r="I38" s="12" t="s">
        <v>190</v>
      </c>
      <c r="J38" s="19"/>
      <c r="K38" s="78" t="s">
        <v>191</v>
      </c>
      <c r="L38" s="11"/>
      <c r="M38" s="12" t="s">
        <v>192</v>
      </c>
      <c r="N38" s="12"/>
      <c r="O38" s="12"/>
      <c r="P38" s="12"/>
      <c r="Q38" s="17"/>
      <c r="R38" s="17" t="str">
        <f t="shared" si="3"/>
        <v>g0v tw hackath55n — 成果報告 — Arm0ry ／ Stamford — AI 也想參加黑客松</v>
      </c>
    </row>
    <row r="39" ht="15.0" customHeight="1">
      <c r="A39" s="75">
        <v>4.0</v>
      </c>
      <c r="B39" s="77">
        <v>0.6770833333333334</v>
      </c>
      <c r="C39" s="11"/>
      <c r="D39" s="19" t="s">
        <v>193</v>
      </c>
      <c r="E39" s="12" t="s">
        <v>20</v>
      </c>
      <c r="F39" s="13"/>
      <c r="G39" s="19" t="s">
        <v>127</v>
      </c>
      <c r="H39" s="19" t="s">
        <v>128</v>
      </c>
      <c r="J39" s="19"/>
      <c r="K39" s="79" t="s">
        <v>129</v>
      </c>
      <c r="L39" s="11"/>
      <c r="M39" s="12"/>
      <c r="N39" s="12"/>
      <c r="O39" s="12"/>
      <c r="P39" s="12"/>
      <c r="Q39" s="12"/>
      <c r="R39" s="17" t="str">
        <f t="shared" si="3"/>
        <v>g0v tw hackath55n — 成果報告 — 咖啡閒談 ／ 其磊 — AI 也想參加黑客松</v>
      </c>
    </row>
    <row r="40" ht="15.0" customHeight="1">
      <c r="A40" s="75">
        <v>5.0</v>
      </c>
      <c r="B40" s="77">
        <v>0.6805555555555556</v>
      </c>
      <c r="C40" s="11"/>
      <c r="D40" s="12" t="s">
        <v>160</v>
      </c>
      <c r="E40" s="12" t="s">
        <v>31</v>
      </c>
      <c r="F40" s="13"/>
      <c r="G40" s="80" t="s">
        <v>194</v>
      </c>
      <c r="H40" s="80" t="s">
        <v>195</v>
      </c>
      <c r="I40" s="12"/>
      <c r="J40" s="81"/>
      <c r="K40" s="21" t="s">
        <v>196</v>
      </c>
      <c r="L40" s="11"/>
      <c r="M40" s="12"/>
      <c r="N40" s="17"/>
      <c r="O40" s="17"/>
      <c r="P40" s="21" t="s">
        <v>197</v>
      </c>
      <c r="Q40" s="12"/>
      <c r="R40" s="17" t="str">
        <f t="shared" si="3"/>
        <v>g0v tw hackath55n — 成果報告 — CiviCue 平方投票開源模組 ／ Nick — AI 也想參加黑客松</v>
      </c>
    </row>
    <row r="41" ht="15.0" customHeight="1">
      <c r="A41" s="75">
        <v>6.0</v>
      </c>
      <c r="B41" s="77">
        <v>0.6840277777777778</v>
      </c>
      <c r="C41" s="11"/>
      <c r="D41" s="9" t="s">
        <v>93</v>
      </c>
      <c r="E41" s="12" t="s">
        <v>20</v>
      </c>
      <c r="F41" s="13" t="s">
        <v>21</v>
      </c>
      <c r="G41" s="32" t="s">
        <v>94</v>
      </c>
      <c r="H41" s="32" t="s">
        <v>95</v>
      </c>
      <c r="I41" s="27" t="s">
        <v>96</v>
      </c>
      <c r="J41" s="33" t="s">
        <v>198</v>
      </c>
      <c r="K41" s="34" t="s">
        <v>199</v>
      </c>
      <c r="L41" s="82" t="s">
        <v>21</v>
      </c>
      <c r="M41" s="12" t="s">
        <v>99</v>
      </c>
      <c r="N41" s="12" t="s">
        <v>100</v>
      </c>
      <c r="O41" s="12" t="s">
        <v>101</v>
      </c>
      <c r="P41" s="12"/>
      <c r="Q41" s="17"/>
      <c r="R41" s="17" t="str">
        <f t="shared" si="3"/>
        <v>g0v tw hackath55n — 成果報告 — 坑主小聚 ／ chewei — AI 也想參加黑客松</v>
      </c>
    </row>
    <row r="42" ht="15.0" customHeight="1">
      <c r="A42" s="75">
        <v>7.0</v>
      </c>
      <c r="B42" s="83">
        <v>0.6875</v>
      </c>
      <c r="C42" s="11"/>
      <c r="D42" s="12" t="s">
        <v>84</v>
      </c>
      <c r="E42" s="12" t="s">
        <v>20</v>
      </c>
      <c r="F42" s="13"/>
      <c r="G42" s="12" t="s">
        <v>200</v>
      </c>
      <c r="H42" s="12" t="s">
        <v>200</v>
      </c>
      <c r="I42" s="12" t="s">
        <v>69</v>
      </c>
      <c r="J42" s="18" t="s">
        <v>201</v>
      </c>
      <c r="K42" s="12" t="s">
        <v>202</v>
      </c>
      <c r="L42" s="84" t="s">
        <v>21</v>
      </c>
      <c r="M42" s="85" t="s">
        <v>203</v>
      </c>
      <c r="N42" s="85" t="s">
        <v>204</v>
      </c>
      <c r="O42" s="85" t="s">
        <v>205</v>
      </c>
      <c r="P42" s="12"/>
      <c r="Q42" s="17"/>
      <c r="R42" s="17" t="str">
        <f t="shared" si="3"/>
        <v>g0v tw hackath55n — 成果報告 — bridge ／ pm5 — AI 也想參加黑客松</v>
      </c>
    </row>
    <row r="43" ht="15.0" customHeight="1">
      <c r="A43" s="75">
        <v>8.0</v>
      </c>
      <c r="B43" s="10">
        <v>0.6909722222222222</v>
      </c>
      <c r="C43" s="11"/>
      <c r="D43" s="12" t="s">
        <v>206</v>
      </c>
      <c r="E43" s="12" t="s">
        <v>20</v>
      </c>
      <c r="F43" s="13"/>
      <c r="G43" s="35" t="s">
        <v>103</v>
      </c>
      <c r="H43" s="27" t="s">
        <v>104</v>
      </c>
      <c r="I43" s="35" t="s">
        <v>105</v>
      </c>
      <c r="J43" s="37" t="s">
        <v>106</v>
      </c>
      <c r="K43" s="38" t="s">
        <v>107</v>
      </c>
      <c r="L43" s="26" t="s">
        <v>21</v>
      </c>
      <c r="M43" s="27" t="s">
        <v>108</v>
      </c>
      <c r="N43" s="35" t="s">
        <v>109</v>
      </c>
      <c r="O43" s="35" t="s">
        <v>110</v>
      </c>
      <c r="P43" s="12"/>
      <c r="Q43" s="17"/>
      <c r="R43" s="17" t="str">
        <f t="shared" si="3"/>
        <v>g0v tw hackath55n — 成果報告 — Cofacts 真的假的 ／ MrOrz — AI 也想參加黑客松</v>
      </c>
    </row>
    <row r="44" ht="15.0" customHeight="1">
      <c r="A44" s="75">
        <v>9.0</v>
      </c>
      <c r="B44" s="10">
        <v>0.6944444444444444</v>
      </c>
      <c r="C44" s="11"/>
      <c r="D44" s="12" t="s">
        <v>207</v>
      </c>
      <c r="E44" s="12" t="s">
        <v>20</v>
      </c>
      <c r="F44" s="13"/>
      <c r="G44" s="12" t="s">
        <v>208</v>
      </c>
      <c r="H44" s="12" t="s">
        <v>209</v>
      </c>
      <c r="I44" s="12" t="s">
        <v>69</v>
      </c>
      <c r="J44" s="86" t="s">
        <v>210</v>
      </c>
      <c r="K44" s="21" t="s">
        <v>211</v>
      </c>
      <c r="L44" s="87"/>
      <c r="M44" s="88"/>
      <c r="N44" s="12"/>
      <c r="O44" s="12" t="s">
        <v>212</v>
      </c>
      <c r="P44" s="12"/>
      <c r="Q44" s="17"/>
      <c r="R44" s="17" t="str">
        <f t="shared" si="3"/>
        <v>g0v tw hackath55n — 成果報告 — g0v language portal ／ RSChiang — AI 也想參加黑客松</v>
      </c>
    </row>
    <row r="45" ht="15.0" customHeight="1">
      <c r="A45" s="75">
        <v>10.0</v>
      </c>
      <c r="B45" s="10">
        <v>0.6979166666666666</v>
      </c>
      <c r="C45" s="11"/>
      <c r="D45" s="9" t="s">
        <v>111</v>
      </c>
      <c r="E45" s="12" t="s">
        <v>20</v>
      </c>
      <c r="F45" s="13"/>
      <c r="G45" s="12" t="s">
        <v>213</v>
      </c>
      <c r="H45" s="40" t="s">
        <v>113</v>
      </c>
      <c r="I45" s="27" t="s">
        <v>69</v>
      </c>
      <c r="J45" s="41" t="s">
        <v>114</v>
      </c>
      <c r="K45" s="41" t="s">
        <v>115</v>
      </c>
      <c r="L45" s="82" t="s">
        <v>21</v>
      </c>
      <c r="M45" s="12" t="s">
        <v>116</v>
      </c>
      <c r="N45" s="12" t="s">
        <v>117</v>
      </c>
      <c r="O45" s="12" t="s">
        <v>118</v>
      </c>
      <c r="P45" s="17"/>
      <c r="Q45" s="17"/>
      <c r="R45" s="17" t="str">
        <f t="shared" si="3"/>
        <v>g0v tw hackath55n — 成果報告 — new safeID
換掉外洩的證號 ／ Paul — AI 也想參加黑客松</v>
      </c>
    </row>
    <row r="46" ht="15.0" customHeight="1">
      <c r="A46" s="58">
        <v>11.0</v>
      </c>
      <c r="B46" s="10">
        <v>0.7013888888888888</v>
      </c>
      <c r="C46" s="28"/>
      <c r="D46" s="28" t="s">
        <v>214</v>
      </c>
      <c r="E46" s="28" t="s">
        <v>20</v>
      </c>
      <c r="F46" s="89"/>
      <c r="G46" s="90" t="s">
        <v>215</v>
      </c>
      <c r="H46" s="90" t="s">
        <v>216</v>
      </c>
      <c r="I46" s="90" t="s">
        <v>217</v>
      </c>
      <c r="J46" s="91" t="s">
        <v>218</v>
      </c>
      <c r="K46" s="59" t="s">
        <v>219</v>
      </c>
      <c r="L46" s="11" t="s">
        <v>21</v>
      </c>
      <c r="M46" s="28" t="s">
        <v>220</v>
      </c>
      <c r="N46" s="28" t="s">
        <v>221</v>
      </c>
      <c r="O46" s="59" t="s">
        <v>222</v>
      </c>
      <c r="P46" s="28"/>
      <c r="Q46" s="28"/>
      <c r="R46" s="61" t="str">
        <f t="shared" si="3"/>
        <v>g0v tw hackath55n — 成果報告 — Sowal no Formosa (Formosan Languages Revitalisation Project)  ／ Mirusa — AI 也想參加黑客松</v>
      </c>
    </row>
    <row r="47" ht="15.0" customHeight="1">
      <c r="A47" s="75">
        <v>12.0</v>
      </c>
      <c r="B47" s="10">
        <v>0.7048611111111112</v>
      </c>
      <c r="C47" s="11"/>
      <c r="D47" s="12" t="s">
        <v>223</v>
      </c>
      <c r="E47" s="12" t="s">
        <v>20</v>
      </c>
      <c r="F47" s="13"/>
      <c r="G47" s="12"/>
      <c r="H47" s="12" t="s">
        <v>224</v>
      </c>
      <c r="I47" s="19"/>
      <c r="J47" s="92"/>
      <c r="K47" s="93"/>
      <c r="L47" s="11" t="s">
        <v>21</v>
      </c>
      <c r="M47" s="12" t="s">
        <v>225</v>
      </c>
      <c r="N47" s="12"/>
      <c r="O47" s="12" t="s">
        <v>226</v>
      </c>
      <c r="P47" s="12"/>
      <c r="Q47" s="12"/>
      <c r="R47" s="17" t="str">
        <f t="shared" si="3"/>
        <v>g0v tw hackath55n — 成果報告 —  ／ 揪松團 — AI 也想參加黑客松</v>
      </c>
    </row>
    <row r="48" ht="15.0" customHeight="1">
      <c r="A48" s="94"/>
      <c r="B48" s="95"/>
      <c r="C48" s="95"/>
      <c r="D48" s="96"/>
      <c r="E48" s="96"/>
      <c r="F48" s="94"/>
      <c r="G48" s="94"/>
      <c r="H48" s="94"/>
      <c r="I48" s="94"/>
      <c r="J48" s="94"/>
      <c r="K48" s="94"/>
      <c r="L48" s="95"/>
      <c r="M48" s="94"/>
      <c r="N48" s="94"/>
      <c r="O48" s="94"/>
      <c r="P48" s="94"/>
      <c r="Q48" s="94"/>
      <c r="R48" s="94"/>
    </row>
    <row r="49" ht="15.0" customHeight="1">
      <c r="A49" s="94"/>
      <c r="B49" s="95"/>
      <c r="C49" s="95"/>
      <c r="D49" s="96"/>
      <c r="E49" s="96"/>
      <c r="F49" s="94"/>
      <c r="G49" s="94"/>
      <c r="H49" s="94"/>
      <c r="I49" s="94"/>
      <c r="J49" s="94"/>
      <c r="K49" s="94"/>
      <c r="L49" s="95"/>
      <c r="M49" s="94"/>
      <c r="N49" s="94"/>
      <c r="O49" s="94"/>
      <c r="P49" s="94"/>
      <c r="Q49" s="94"/>
      <c r="R49" s="94"/>
    </row>
  </sheetData>
  <mergeCells count="6">
    <mergeCell ref="A1:N1"/>
    <mergeCell ref="A3:Q3"/>
    <mergeCell ref="A4:N4"/>
    <mergeCell ref="A25:Q25"/>
    <mergeCell ref="A26:Q26"/>
    <mergeCell ref="A34:Q34"/>
  </mergeCells>
  <dataValidations>
    <dataValidation type="list" allowBlank="1" sqref="E5">
      <formula1>"實體,預錄影片"</formula1>
    </dataValidation>
    <dataValidation type="list" allowBlank="1" sqref="E6:E19 E22:E24 E28:E31 E36:E47">
      <formula1>"實體,預錄影片"</formula1>
    </dataValidation>
  </dataValidations>
  <hyperlinks>
    <hyperlink r:id="rId1" ref="J5"/>
    <hyperlink r:id="rId2" ref="J6"/>
    <hyperlink r:id="rId3" ref="J7"/>
    <hyperlink r:id="rId4" ref="K7"/>
    <hyperlink r:id="rId5" ref="J8"/>
    <hyperlink r:id="rId6" ref="K8"/>
    <hyperlink r:id="rId7" ref="P8"/>
    <hyperlink r:id="rId8" ref="K9"/>
    <hyperlink r:id="rId9" ref="P9"/>
    <hyperlink r:id="rId10" location="slide=id.g22c02fe447e_0_7" ref="K10"/>
    <hyperlink r:id="rId11" ref="J11"/>
    <hyperlink r:id="rId12" ref="K11"/>
    <hyperlink r:id="rId13" ref="K12"/>
    <hyperlink r:id="rId14" ref="J13"/>
    <hyperlink r:id="rId15" ref="K13"/>
    <hyperlink r:id="rId16" ref="J14"/>
    <hyperlink r:id="rId17" ref="K14"/>
    <hyperlink r:id="rId18" ref="J15"/>
    <hyperlink r:id="rId19" ref="K15"/>
    <hyperlink r:id="rId20" ref="J16"/>
    <hyperlink r:id="rId21" ref="K16"/>
    <hyperlink r:id="rId22" ref="J17"/>
    <hyperlink r:id="rId23" location="slide=id.p" ref="K17"/>
    <hyperlink r:id="rId24" ref="J18"/>
    <hyperlink r:id="rId25" ref="K18"/>
    <hyperlink r:id="rId26" ref="J19"/>
    <hyperlink r:id="rId27" ref="K19"/>
    <hyperlink r:id="rId28" ref="J20"/>
    <hyperlink r:id="rId29" ref="K20"/>
    <hyperlink r:id="rId30" ref="Q20"/>
    <hyperlink r:id="rId31" ref="J22"/>
    <hyperlink r:id="rId32" ref="K23"/>
    <hyperlink r:id="rId33" ref="J24"/>
    <hyperlink r:id="rId34" ref="K24"/>
    <hyperlink r:id="rId35" ref="O24"/>
    <hyperlink r:id="rId36" ref="K28"/>
    <hyperlink r:id="rId37" ref="K29"/>
    <hyperlink r:id="rId38" ref="J30"/>
    <hyperlink r:id="rId39" ref="K30"/>
    <hyperlink r:id="rId40" ref="J31"/>
    <hyperlink r:id="rId41" ref="K31"/>
    <hyperlink r:id="rId42" ref="J36"/>
    <hyperlink r:id="rId43" ref="K36"/>
    <hyperlink r:id="rId44" ref="K37"/>
    <hyperlink r:id="rId45" ref="O37"/>
    <hyperlink r:id="rId46" location="slide=id.g213f4f77157_0_35" ref="K38"/>
    <hyperlink r:id="rId47" ref="K39"/>
    <hyperlink r:id="rId48" ref="K40"/>
    <hyperlink r:id="rId49" ref="P40"/>
    <hyperlink r:id="rId50" ref="J41"/>
    <hyperlink r:id="rId51" ref="K41"/>
    <hyperlink r:id="rId52" ref="J42"/>
    <hyperlink r:id="rId53" ref="J43"/>
    <hyperlink r:id="rId54" location="slide=id.p" ref="K43"/>
    <hyperlink r:id="rId55" ref="K44"/>
    <hyperlink r:id="rId56" ref="J45"/>
    <hyperlink r:id="rId57" ref="K45"/>
    <hyperlink r:id="rId58" ref="K46"/>
    <hyperlink r:id="rId59" ref="O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97"/>
      <c r="L1" s="97">
        <v>101.0</v>
      </c>
      <c r="S1" s="60">
        <v>108.0</v>
      </c>
    </row>
    <row r="2" ht="39.0" customHeight="1">
      <c r="A2" s="98"/>
      <c r="B2" s="99" t="s">
        <v>227</v>
      </c>
      <c r="C2" s="100"/>
      <c r="D2" s="100"/>
      <c r="E2" s="100"/>
      <c r="F2" s="100"/>
      <c r="G2" s="101"/>
      <c r="H2" s="98"/>
      <c r="I2" s="98"/>
      <c r="J2" s="98"/>
      <c r="K2" s="98"/>
      <c r="L2" s="102" t="s">
        <v>228</v>
      </c>
      <c r="M2" s="100"/>
      <c r="N2" s="100"/>
      <c r="O2" s="100"/>
      <c r="P2" s="100"/>
      <c r="Q2" s="98"/>
      <c r="R2" s="98"/>
      <c r="S2" s="97" t="s">
        <v>229</v>
      </c>
      <c r="T2" s="98"/>
      <c r="U2" s="97" t="s">
        <v>228</v>
      </c>
      <c r="X2" s="98"/>
    </row>
    <row r="3" ht="39.0" customHeight="1">
      <c r="A3" s="103"/>
      <c r="C3" s="19"/>
      <c r="D3" s="104"/>
      <c r="E3" s="105"/>
      <c r="F3" s="105"/>
      <c r="G3" s="106"/>
      <c r="H3" s="98"/>
      <c r="I3" s="98"/>
      <c r="J3" s="98"/>
      <c r="K3" s="103"/>
      <c r="L3" s="105"/>
      <c r="M3" s="104"/>
      <c r="O3" s="104"/>
      <c r="P3" s="105"/>
      <c r="Q3" s="107"/>
      <c r="R3" s="98"/>
      <c r="S3" s="105"/>
      <c r="T3" s="105"/>
      <c r="U3" s="105"/>
      <c r="V3" s="105"/>
      <c r="W3" s="105"/>
      <c r="X3" s="98"/>
    </row>
    <row r="4" ht="39.0" customHeight="1">
      <c r="A4" s="103"/>
      <c r="B4" s="105"/>
      <c r="C4" s="104"/>
      <c r="D4" s="105"/>
      <c r="E4" s="12" t="s">
        <v>230</v>
      </c>
      <c r="F4" s="105"/>
      <c r="G4" s="108" t="s">
        <v>231</v>
      </c>
      <c r="H4" s="98"/>
      <c r="I4" s="98"/>
      <c r="J4" s="98"/>
      <c r="K4" s="103"/>
      <c r="L4" s="104" t="s">
        <v>232</v>
      </c>
      <c r="M4" s="105"/>
      <c r="N4" s="12" t="s">
        <v>233</v>
      </c>
      <c r="O4" s="109"/>
      <c r="P4" s="105"/>
      <c r="Q4" s="107"/>
      <c r="R4" s="98"/>
      <c r="S4" s="105"/>
      <c r="T4" s="105"/>
      <c r="U4" s="104"/>
      <c r="V4" s="109"/>
      <c r="W4" s="104"/>
      <c r="X4" s="98"/>
    </row>
    <row r="5" ht="39.0" customHeight="1">
      <c r="A5" s="103"/>
      <c r="B5" s="105"/>
      <c r="C5" s="105"/>
      <c r="D5" s="104"/>
      <c r="E5" s="104" t="s">
        <v>234</v>
      </c>
      <c r="F5" s="104" t="s">
        <v>235</v>
      </c>
      <c r="G5" s="105"/>
      <c r="H5" s="98"/>
      <c r="I5" s="98"/>
      <c r="J5" s="98"/>
      <c r="K5" s="103"/>
      <c r="L5" s="105"/>
      <c r="M5" s="105"/>
      <c r="N5" s="104"/>
      <c r="O5" s="105"/>
      <c r="P5" s="104"/>
      <c r="Q5" s="107"/>
      <c r="R5" s="98"/>
      <c r="S5" s="105"/>
      <c r="T5" s="105"/>
      <c r="U5" s="104"/>
      <c r="V5" s="105"/>
      <c r="W5" s="105"/>
      <c r="X5" s="98"/>
    </row>
    <row r="6" ht="39.0" customHeight="1">
      <c r="A6" s="103"/>
      <c r="B6" s="105"/>
      <c r="C6" s="105"/>
      <c r="D6" s="105"/>
      <c r="E6" s="109"/>
      <c r="F6" s="105"/>
      <c r="G6" s="106"/>
      <c r="H6" s="98"/>
      <c r="I6" s="98"/>
      <c r="J6" s="98"/>
      <c r="K6" s="103"/>
      <c r="L6" s="105"/>
      <c r="M6" s="105"/>
      <c r="N6" s="104" t="s">
        <v>236</v>
      </c>
      <c r="O6" s="105"/>
      <c r="P6" s="105"/>
      <c r="Q6" s="107"/>
      <c r="R6" s="98"/>
      <c r="S6" s="105"/>
      <c r="T6" s="105"/>
      <c r="U6" s="104"/>
      <c r="V6" s="105"/>
      <c r="W6" s="105"/>
      <c r="X6" s="98"/>
    </row>
    <row r="7" ht="39.0" customHeight="1">
      <c r="A7" s="103"/>
      <c r="B7" s="105"/>
      <c r="C7" s="110"/>
      <c r="D7" s="105"/>
      <c r="E7" s="105"/>
      <c r="F7" s="105"/>
      <c r="G7" s="108" t="s">
        <v>229</v>
      </c>
      <c r="H7" s="98"/>
      <c r="I7" s="98"/>
      <c r="J7" s="98"/>
      <c r="K7" s="103"/>
      <c r="L7" s="105"/>
      <c r="M7" s="104" t="s">
        <v>237</v>
      </c>
      <c r="N7" s="104"/>
      <c r="O7" s="104"/>
      <c r="P7" s="105"/>
      <c r="Q7" s="107"/>
      <c r="R7" s="98"/>
      <c r="S7" s="105"/>
      <c r="T7" s="105"/>
      <c r="U7" s="104"/>
      <c r="V7" s="105"/>
      <c r="W7" s="105"/>
      <c r="X7" s="98"/>
    </row>
    <row r="8" ht="39.0" customHeight="1">
      <c r="A8" s="103"/>
      <c r="B8" s="105"/>
      <c r="C8" s="111"/>
      <c r="D8" s="105"/>
      <c r="E8" s="105"/>
      <c r="F8" s="105"/>
      <c r="G8" s="105"/>
      <c r="H8" s="19"/>
      <c r="I8" s="19"/>
      <c r="J8" s="19"/>
      <c r="K8" s="112" t="s">
        <v>229</v>
      </c>
      <c r="L8" s="104" t="s">
        <v>103</v>
      </c>
      <c r="M8" s="105"/>
      <c r="N8" s="104"/>
      <c r="O8" s="113"/>
      <c r="P8" s="105"/>
      <c r="Q8" s="107"/>
      <c r="R8" s="98"/>
      <c r="S8" s="105"/>
      <c r="T8" s="105"/>
      <c r="U8" s="109"/>
      <c r="V8" s="105"/>
      <c r="W8" s="105"/>
      <c r="X8" s="98"/>
    </row>
    <row r="9" ht="39.0" customHeight="1">
      <c r="A9" s="103"/>
      <c r="B9" s="105"/>
      <c r="C9" s="105"/>
      <c r="D9" s="105"/>
      <c r="E9" s="105"/>
      <c r="F9" s="105"/>
      <c r="G9" s="105"/>
      <c r="H9" s="98"/>
      <c r="I9" s="98"/>
      <c r="J9" s="98"/>
      <c r="K9" s="103"/>
      <c r="L9" s="105"/>
      <c r="M9" s="105"/>
      <c r="N9" s="105"/>
      <c r="O9" s="105"/>
      <c r="P9" s="106"/>
      <c r="Q9" s="107"/>
      <c r="R9" s="98"/>
      <c r="S9" s="105"/>
      <c r="T9" s="105"/>
      <c r="U9" s="105"/>
      <c r="V9" s="105"/>
      <c r="W9" s="106"/>
      <c r="X9" s="98"/>
    </row>
    <row r="10" ht="39.0" customHeight="1">
      <c r="A10" s="98"/>
      <c r="B10" s="114"/>
      <c r="C10" s="114"/>
      <c r="D10" s="114"/>
      <c r="E10" s="114"/>
      <c r="F10" s="114"/>
      <c r="G10" s="114"/>
      <c r="H10" s="98"/>
      <c r="I10" s="98"/>
      <c r="J10" s="98"/>
      <c r="K10" s="98"/>
      <c r="L10" s="114"/>
      <c r="M10" s="114"/>
      <c r="N10" s="114"/>
      <c r="O10" s="114"/>
      <c r="P10" s="114"/>
      <c r="Q10" s="98"/>
      <c r="R10" s="98"/>
      <c r="S10" s="98"/>
      <c r="T10" s="98"/>
      <c r="U10" s="98"/>
      <c r="V10" s="98"/>
      <c r="W10" s="98"/>
      <c r="X10" s="98"/>
    </row>
    <row r="11" ht="39.0" customHeight="1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</row>
    <row r="12" ht="39.0" customHeight="1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</row>
    <row r="13" ht="39.0" customHeight="1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</row>
    <row r="14" ht="39.0" customHeight="1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</row>
    <row r="15" ht="39.0" customHeight="1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</row>
    <row r="16" ht="39.0" customHeight="1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</row>
    <row r="17" ht="39.0" customHeight="1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</row>
    <row r="18" ht="39.0" customHeight="1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</row>
    <row r="19" ht="39.0" customHeight="1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</row>
    <row r="20" ht="39.0" customHeight="1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</row>
    <row r="21" ht="39.0" customHeight="1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</row>
    <row r="22" ht="39.0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ht="39.0" customHeight="1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24" ht="39.0" customHeight="1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</row>
    <row r="25" ht="39.0" customHeight="1">
      <c r="A25" s="98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</row>
    <row r="26" ht="39.0" customHeight="1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</row>
    <row r="27" ht="39.0" customHeight="1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</row>
    <row r="28" ht="39.0" customHeight="1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</row>
    <row r="29" ht="39.0" customHeight="1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</row>
    <row r="30" ht="39.0" customHeight="1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</row>
    <row r="31" ht="39.0" customHeight="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</row>
    <row r="32" ht="39.0" customHeight="1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</row>
    <row r="33" ht="39.0" customHeight="1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</row>
    <row r="34" ht="39.0" customHeight="1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</row>
    <row r="35" ht="39.0" customHeight="1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</row>
    <row r="36" ht="39.0" customHeight="1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</row>
    <row r="37" ht="39.0" customHeight="1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</row>
    <row r="38" ht="39.0" customHeight="1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</row>
    <row r="39" ht="39.0" customHeight="1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</row>
    <row r="40" ht="39.0" customHeight="1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</row>
    <row r="41" ht="39.0" customHeight="1">
      <c r="A41" s="98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</row>
    <row r="42" ht="39.0" customHeight="1">
      <c r="A42" s="98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</row>
    <row r="43" ht="39.0" customHeight="1">
      <c r="A43" s="98"/>
      <c r="B43" s="98"/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</row>
    <row r="44" ht="39.0" customHeight="1">
      <c r="A44" s="98"/>
      <c r="B44" s="98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</row>
    <row r="45" ht="39.0" customHeight="1">
      <c r="A45" s="98"/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</row>
    <row r="46" ht="39.0" customHeight="1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</row>
    <row r="47" ht="39.0" customHeight="1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</row>
    <row r="48" ht="39.0" customHeight="1">
      <c r="A48" s="98"/>
      <c r="B48" s="98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</row>
    <row r="49" ht="39.0" customHeight="1">
      <c r="A49" s="98"/>
      <c r="B49" s="98"/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</row>
    <row r="50" ht="39.0" customHeight="1">
      <c r="A50" s="98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</row>
    <row r="51" ht="39.0" customHeight="1">
      <c r="A51" s="98"/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</row>
    <row r="52" ht="39.0" customHeight="1">
      <c r="A52" s="98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</row>
    <row r="53" ht="39.0" customHeight="1">
      <c r="A53" s="98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</row>
    <row r="54" ht="39.0" customHeight="1">
      <c r="A54" s="98"/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</row>
    <row r="55" ht="39.0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</row>
    <row r="56" ht="39.0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</row>
    <row r="57" ht="39.0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</row>
    <row r="58" ht="39.0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</row>
    <row r="59" ht="39.0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</row>
    <row r="60" ht="39.0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</row>
    <row r="61" ht="39.0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</row>
    <row r="62" ht="39.0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</row>
    <row r="63" ht="39.0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</row>
    <row r="64" ht="39.0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</row>
    <row r="65" ht="39.0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</row>
    <row r="66" ht="39.0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</row>
    <row r="67" ht="39.0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</row>
    <row r="68" ht="39.0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</row>
    <row r="69" ht="39.0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</row>
    <row r="70" ht="39.0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</row>
    <row r="71" ht="39.0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</row>
    <row r="72" ht="39.0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</row>
    <row r="73" ht="39.0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</row>
    <row r="74" ht="39.0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</row>
    <row r="75" ht="39.0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</row>
    <row r="76" ht="39.0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</row>
    <row r="77" ht="39.0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</row>
    <row r="78" ht="39.0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</row>
    <row r="79" ht="39.0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</row>
    <row r="80" ht="39.0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</row>
    <row r="81" ht="39.0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</row>
    <row r="82" ht="39.0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</row>
    <row r="83" ht="39.0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</row>
    <row r="84" ht="39.0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</row>
    <row r="85" ht="39.0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</row>
    <row r="86" ht="39.0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</row>
    <row r="87" ht="39.0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</row>
    <row r="88" ht="39.0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</row>
    <row r="89" ht="39.0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</row>
    <row r="90" ht="39.0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</row>
    <row r="91" ht="39.0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</row>
    <row r="92" ht="39.0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</row>
    <row r="93" ht="39.0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</row>
    <row r="94" ht="39.0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</row>
    <row r="95" ht="39.0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</row>
    <row r="96" ht="39.0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</row>
    <row r="97" ht="39.0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</row>
    <row r="98" ht="39.0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</row>
    <row r="99" ht="39.0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</row>
    <row r="100" ht="39.0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</row>
    <row r="101" ht="39.0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