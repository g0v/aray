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<sst xmlns="http://schemas.openxmlformats.org/spreadsheetml/2006/main" count="287" uniqueCount="224">
  <si>
    <t>發表時間</t>
  </si>
  <si>
    <t>完成</t>
  </si>
  <si>
    <t>發表者</t>
  </si>
  <si>
    <t>錄影以 CC-BY 釋出？</t>
  </si>
  <si>
    <t>主題</t>
  </si>
  <si>
    <t>專案授權</t>
  </si>
  <si>
    <t>共筆／討論連結</t>
  </si>
  <si>
    <t>目前成果／投影片連結</t>
  </si>
  <si>
    <t>專案三個關鍵字</t>
  </si>
  <si>
    <t>專案徵人（專長）</t>
  </si>
  <si>
    <t>坑主聯絡方式</t>
  </si>
  <si>
    <t>youtube url: 專案報告</t>
  </si>
  <si>
    <t>youtube url: 成果報告</t>
  </si>
  <si>
    <t>slides url</t>
  </si>
  <si>
    <t>輪播</t>
  </si>
  <si>
    <t>https://docs.google.com/presentation/d/1cegJ0y_tvMJso35sd_UVxJctGi_ndiE3D1mblEeGxDM/edit</t>
  </si>
  <si>
    <t>背景音樂</t>
  </si>
  <si>
    <t>感謝 freddy 贊助公播</t>
  </si>
  <si>
    <t>https://www.youtube.com/playlist?list=PLwquGFDLGAoXmYoOR3cvSvijlp7C_SSbg&amp;app=desktop</t>
  </si>
  <si>
    <t>新手教學</t>
  </si>
  <si>
    <t>https://docs.google.com/presentation/d/1iwZH1u5xmclgvz6XPiZRjtL-ybDCkGr5UCICcXbSj1k/edit#slide=id.p</t>
  </si>
  <si>
    <t>開場</t>
  </si>
  <si>
    <t>https://drive.google.com/file/d/1n9obvMnDIdVzbAfgepBKkwZiOsPXNj4W/view?usp=sharing</t>
  </si>
  <si>
    <t>09:30開場，09:40提案開始【3分鐘提案報名】每個 present 3min，提案、徵人。</t>
  </si>
  <si>
    <t>揪松</t>
  </si>
  <si>
    <t>Y</t>
  </si>
  <si>
    <t>elixus 到 g0v 之 ilya 紀念共筆</t>
  </si>
  <si>
    <t>CC-BY</t>
  </si>
  <si>
    <t>https://drive.google.com/drive/u/1/my-drive</t>
  </si>
  <si>
    <t>elixus, g0v, ilya</t>
  </si>
  <si>
    <t>https://drive.google.com/file/d/1Uae9lgTOQvFpvI64m_ebyf3fkLlt29tj/view?usp=sharing</t>
  </si>
  <si>
    <t>weting</t>
  </si>
  <si>
    <t>阿美語萌典</t>
  </si>
  <si>
    <t>https://github.com/g0v/amis-moedict</t>
  </si>
  <si>
    <t>https://amis.moedict.tw/</t>
  </si>
  <si>
    <t>阿美語、台灣原住民語與南島語、台灣原住民族文化</t>
  </si>
  <si>
    <t>g0v slack: #amis channel</t>
  </si>
  <si>
    <t>https://docs.google.com/presentation/d/1fFURRk6y-zSJTGpw_4zjJ-USBD6EMbbofV2UB90FLbE/edit#slide=id.g525b4b4383_0_10</t>
  </si>
  <si>
    <t>田</t>
  </si>
  <si>
    <t>金流百科-議員財產申報修法歷程與專案進度</t>
  </si>
  <si>
    <t>https://docs.google.com/presentation/d/1Vmexsaq6zqLzJrkvBPih9tEKjWyGVtYnlASgJQ1e24E/edit#slide=id.p1</t>
  </si>
  <si>
    <t>議長、財產、不怎麼公開</t>
  </si>
  <si>
    <t>g0v slack @田</t>
  </si>
  <si>
    <t>Ronny</t>
  </si>
  <si>
    <t>我要選立委</t>
  </si>
  <si>
    <t>https://g0v.hackmd.io/_9meJ-_0TaWNRpu8XXO_SQ</t>
  </si>
  <si>
    <t>https://docs.google.com/presentation/d/1HRWiDDaZ9KX9SLLNoyETyrILY1D6i4sBesvdTPdDN8c/edit</t>
  </si>
  <si>
    <t>立委、開放政府、虛擬候選人</t>
  </si>
  <si>
    <t>g0v slack @ronnywang</t>
  </si>
  <si>
    <t>chihao（代）</t>
  </si>
  <si>
    <t>鄉民看電視</t>
  </si>
  <si>
    <t>程式 BSD</t>
  </si>
  <si>
    <t>https://www.youtube.com/watch?v=McIkusSFtjI</t>
  </si>
  <si>
    <t>https://g0v.hackmd.io/t8UcxLiTRq6RyWToNZskMQ?view</t>
  </si>
  <si>
    <t>https://tvnews-logger.g0v.ronny.tw/</t>
  </si>
  <si>
    <t>ky</t>
  </si>
  <si>
    <t>y</t>
  </si>
  <si>
    <t>新聞自由的界限 (feat. 鄉民看電視)</t>
  </si>
  <si>
    <t>CC0</t>
  </si>
  <si>
    <t>http://vtw.link</t>
  </si>
  <si>
    <t>https://polis.pdis.nat.gov.tw/8m7p5emh8m</t>
  </si>
  <si>
    <t>推薦：新手、非工程師
法律人、媒體人、想討論的人、擅長帶討論或工作坊的人</t>
  </si>
  <si>
    <t>g0v slack: #vtaiwan channel</t>
  </si>
  <si>
    <t>https://docs.google.com/presentation/d/1l7h5fxy97ZZuDobiNBzsIYoGCDVNUn6eBcUTYUyN3Ks/edit?usp=sharing</t>
  </si>
  <si>
    <t>_x0008_這一列沒有人</t>
  </si>
  <si>
    <t>Peace</t>
  </si>
  <si>
    <t>沒有人關心主婦</t>
  </si>
  <si>
    <t>https://docs.google.com/presentation/d/1k7SLOZ76RkUsxYV2nJ5abjvfHSCo2TEIb0xGFAi1swE/edit?usp=sharing</t>
  </si>
  <si>
    <t>世代溝通、性別賦權、社群</t>
  </si>
  <si>
    <t>工程師、行銷、環保、性別意識、社群</t>
  </si>
  <si>
    <t>g0v slack @peace</t>
  </si>
  <si>
    <t>比鄰</t>
  </si>
  <si>
    <t>Cofacts 真的假的</t>
  </si>
  <si>
    <t>程式 MIT
文字 CC0</t>
  </si>
  <si>
    <t>https://cofacts.g0v.tw/hack</t>
  </si>
  <si>
    <t>https://cofacts.g0v.tw</t>
  </si>
  <si>
    <t>群眾協作、闢謠</t>
  </si>
  <si>
    <t>願意回應網路訊息的人、熟悉法律</t>
  </si>
  <si>
    <t>g0v slack: #cofacts channel , g0v slack @mrorz , @bil</t>
  </si>
  <si>
    <t xml:space="preserve"> </t>
  </si>
  <si>
    <t>https://docs.google.com/presentation/d/1A1hLnyDIMXObY--gIp1ElHhVQGl_lKHMxL2habMWV2g/edit#slide=id.p</t>
  </si>
  <si>
    <t>克羅依</t>
  </si>
  <si>
    <t>Rentea 設計給租屋者的開源找屋工具</t>
  </si>
  <si>
    <t>CC-BY-NC</t>
  </si>
  <si>
    <t>租屋者、租屋平台、開放資料</t>
  </si>
  <si>
    <t xml:space="preserve">UIUX, App+Web 前後端, 法律專業
</t>
  </si>
  <si>
    <t>g0v slack: #rentea channel
g0v slack @chloe, @ddio</t>
  </si>
  <si>
    <t>https://docs.google.com/presentation/d/1qtmOvrJS-zeYLAhgshr0qja2XCLFqt-lEHCe5Fp1CAw/edit?usp=sharing</t>
  </si>
  <si>
    <t>林立</t>
  </si>
  <si>
    <t>「被統一會怎樣？」共筆</t>
  </si>
  <si>
    <t>https://hackmd.io/VdW-NEO7TrCyGwVRnkXafg?both</t>
  </si>
  <si>
    <t>https://hackmd.io/BRsHMIh5Tx6kaV0eymXEbQ?edit</t>
  </si>
  <si>
    <t>想像、證據、討論、統一</t>
  </si>
  <si>
    <t>any</t>
  </si>
  <si>
    <t>g0v slack: @allenlinli</t>
  </si>
  <si>
    <t>阿定</t>
  </si>
  <si>
    <t>翻轉殖民之眼：台灣攝影古籍數位化</t>
  </si>
  <si>
    <t>https://hackmd.io/O-JSzUuLRGK7KAa3kbQSBA?both</t>
  </si>
  <si>
    <t>實體書數位化、開放資料、日治時期寫真帖</t>
  </si>
  <si>
    <t>熟悉數位開放資料的人、相關法律問題的人、古籍(修復)專家、執行過藝文機構的數位典藏計畫的人</t>
  </si>
  <si>
    <t xml:space="preserve"> liang@lightboxlib.org, info@lightboxlib.org</t>
  </si>
  <si>
    <t>https://drive.google.com/open?id=19G9VpzolF8KJh7JuI2s9NmGTWd4pOv_7</t>
  </si>
  <si>
    <t>9k</t>
  </si>
  <si>
    <t>公眾陳情平台</t>
  </si>
  <si>
    <t>https://g0v.hackmd.io/ylFvVwGSTPCmQGH4gGsFRw?both</t>
  </si>
  <si>
    <t>https://docs.google.com/presentation/d/1k_SCDfk5n-yBFs49q0ILDiLaOuuzCXjG3d-Rn4iecTg/edit?usp=sharing</t>
  </si>
  <si>
    <t>陳情 公開 追蹤</t>
  </si>
  <si>
    <t>公開資料專家、前端、後端</t>
  </si>
  <si>
    <t>g0v slack @9k
g0v slack: #petitionplatform</t>
  </si>
  <si>
    <t>Allen</t>
  </si>
  <si>
    <t>維基百科的靠山你也可以用，什麼都收的wikidata</t>
  </si>
  <si>
    <t>wikidata.org</t>
  </si>
  <si>
    <t>opendata、CC0、結構化資料</t>
  </si>
  <si>
    <t>徵想要想要結構化紀錄資料的專案</t>
  </si>
  <si>
    <t>小班</t>
  </si>
  <si>
    <t>沒有人知道 g0v 專案怎麼做的</t>
  </si>
  <si>
    <t>https://g0v.hackmd.io/whji1g-UROWEzCvylrb44Q</t>
  </si>
  <si>
    <t> </t>
  </si>
  <si>
    <t>大助</t>
  </si>
  <si>
    <t>新 g0v.tw 官網文字內容整理（與g0v 考古區）</t>
  </si>
  <si>
    <t>https://g0v.hackmd.io/s/BJdh4XE-V</t>
  </si>
  <si>
    <t>https://docs.google.com/presentation/d/1V4_xRHYy9t2r14Jmuv2QKHMtEcyCHk5H6pv_JyEGbew/edit?usp=sharing</t>
  </si>
  <si>
    <t>g0v 基礎建設, 考古, 新手友善</t>
  </si>
  <si>
    <t>第一次來不知道怎麼貢獻，想看看以前有什麼資料的朋友</t>
  </si>
  <si>
    <t>g0v slack @daisuke</t>
  </si>
  <si>
    <t>雨蒼</t>
  </si>
  <si>
    <t>總統盃黑客松平方投票法Open Source</t>
  </si>
  <si>
    <t>https://pdis.github.io/quadratic-voting-frontend/</t>
  </si>
  <si>
    <t>祖儀、okcool</t>
  </si>
  <si>
    <t>Ptt 不能亡：社群機制重構與降低使用者進入門檻</t>
  </si>
  <si>
    <t>https://g0v.hackpad.tw/Ptt--ctwZwU7BxcJ</t>
  </si>
  <si>
    <t>沒有人要上Ptt、社群運作機制、簡單操作Ptt</t>
  </si>
  <si>
    <t>系統規劃師、社群經營者、UXUI設計師、iOS工程師、Android工程師、前端工程師、後端工程師、有興趣提供Ptt怎麼進化的的各領域大大</t>
  </si>
  <si>
    <t>zuyi.lin@gmail.com</t>
  </si>
  <si>
    <t>王郁揚</t>
  </si>
  <si>
    <t>我也要選立委 北投士林</t>
  </si>
  <si>
    <t>https://hackmd.io/XYoD2mRTRD-FLq7EHTUVKw</t>
  </si>
  <si>
    <t>https://www.facebook.com/TwGovStopBSus/</t>
  </si>
  <si>
    <t>KOL、減害救長照、無煙台灣</t>
  </si>
  <si>
    <t>對選舉有興趣的任何人</t>
  </si>
  <si>
    <t>tthra.tw@gmail.com</t>
  </si>
  <si>
    <t>https://docs.google.com/presentation/d/1Z9L3f4tMBkBjtT9T_KolA8F94kI7wcclIDcyzdyDQ4o/edit?usp=sharing</t>
  </si>
  <si>
    <t>Buni</t>
  </si>
  <si>
    <t>回收卡路里</t>
  </si>
  <si>
    <t>https://g0v.hackmd.io/s/H1NjSr86E</t>
  </si>
  <si>
    <t>https://drive.google.com/file/d/1jdWwq8ix7V_CJqJQpTeDXKpKMc4GqNqj/view?usp=sharing</t>
  </si>
  <si>
    <t>== 截止 ==</t>
  </si>
  <si>
    <t>14:30【8分鐘短講報名】
每個 present 8min，分享議題、專案、研究、技術皆可。</t>
  </si>
  <si>
    <t>順序</t>
  </si>
  <si>
    <t>發表時間（自填）</t>
  </si>
  <si>
    <t>錄影以 CC-BY 釋出?</t>
  </si>
  <si>
    <t>相關連結</t>
  </si>
  <si>
    <t>三個關鍵字</t>
  </si>
  <si>
    <t>專案徵人</t>
  </si>
  <si>
    <t>許玉秀</t>
  </si>
  <si>
    <t>模擬亞洲人權法院（Asian Human Rights Simulation）</t>
  </si>
  <si>
    <t>https://drive.google.com/file/d/1Px1T91Dh0-8XWgppYhZFWcyY72_enJlg/view?usp=sharing</t>
  </si>
  <si>
    <t>https://www.facebook.com/pages/category/Community/Asian-Human-Rights-Court-Simulation-321954101916695/</t>
  </si>
  <si>
    <t>https://youtu.be/ZAjNl5OMCO4</t>
  </si>
  <si>
    <t>陳可樂（Holok)</t>
  </si>
  <si>
    <t>香港其中一個公民科技社群—太空站</t>
  </si>
  <si>
    <t>https://docs.google.com/presentation/d/1lAHmB1Iz7x_X6vxWHwYmaiYOvA_BqEFk0mQXuYFq-XQ/edit?usp=sharing</t>
  </si>
  <si>
    <t>＃文化 ＃香港 ＃組織模式</t>
  </si>
  <si>
    <t>holok@opencultures.life</t>
  </si>
  <si>
    <t>weiting</t>
  </si>
  <si>
    <t>公民協作如何保留文化-以阿美語萌典為例</t>
  </si>
  <si>
    <t>https://docs.google.com/presentation/d/1ZKvwj6cnbrO-6Cxf5PHnueHHKAI2tdbUQgpbB9-6qTI/edit#slide=id.g59cc099f14_0_250</t>
  </si>
  <si>
    <t>Sylvain Poirier</t>
  </si>
  <si>
    <t>trust-forum project</t>
  </si>
  <si>
    <t>http://trust-forum.net</t>
  </si>
  <si>
    <t>trustforum@gmail.com</t>
  </si>
  <si>
    <t>本期開放4位8分鐘</t>
  </si>
  <si>
    <t>17:00【 present project】 規則：於106-7會議室舉行
每個 present 5min，可視 project 數量和剩餘時間調整</t>
  </si>
  <si>
    <t>Ptt不能亡</t>
  </si>
  <si>
    <t>https://forms.gle/bdMFW3a4y78BRgiD7</t>
  </si>
  <si>
    <t>17:05</t>
  </si>
  <si>
    <t>Manny</t>
  </si>
  <si>
    <t>Manny Rincon-Cruz wants to chat</t>
  </si>
  <si>
    <t>https://docs.google.com/document/d/1mhtwPgUi90z-TD9po2Ap1maTuNoYGUTeTa10T66yyWE/edit</t>
  </si>
  <si>
    <t>17:10</t>
  </si>
  <si>
    <t>bess</t>
  </si>
  <si>
    <t>jothon 徵才！！COSCUP 議程宣傳</t>
  </si>
  <si>
    <t>https://g0v.hackmd.io/s/By-3oyz9N</t>
  </si>
  <si>
    <t>17:15</t>
  </si>
  <si>
    <t>阿定+任翔+星穎</t>
  </si>
  <si>
    <t>https://hackmd.io/s/BkLR8rIT4</t>
  </si>
  <si>
    <t>17:20</t>
  </si>
  <si>
    <t>https://beta.hackfoldr.org/rentea/</t>
  </si>
  <si>
    <t>17:25</t>
  </si>
  <si>
    <t xml:space="preserve">chewei </t>
  </si>
  <si>
    <t>資料申請小幫手</t>
  </si>
  <si>
    <t>https://docs.google.com/presentation/d/1yNRjadvWYBsVOgRnoMDH8vGOSv0-aJ88YE5Zy1em7h0</t>
  </si>
  <si>
    <t>https://youtu.be/DEFwuSsgqpI</t>
  </si>
  <si>
    <t>17:30</t>
  </si>
  <si>
    <t>g0v 專案秘訣訪談</t>
  </si>
  <si>
    <t>https://g0v.hackmd.io/whji1g-UROWEzCvylrb44Q?both</t>
  </si>
  <si>
    <t>17:35</t>
  </si>
  <si>
    <t>Eddie</t>
  </si>
  <si>
    <t>好新聞點播器</t>
  </si>
  <si>
    <t>https://hackmd.io/yas0Mk_MTPCFihUSQwLfnw</t>
  </si>
  <si>
    <t>https://github.com/agameofprivacy/better-news</t>
  </si>
  <si>
    <t>17:40</t>
  </si>
  <si>
    <t>鄉民看電視 &amp; 我要選立委</t>
  </si>
  <si>
    <t>https://g0v.hackmd.io/c/HJJH5046V/%2FCW8EUUWATCqZL47TJmx8xQ</t>
  </si>
  <si>
    <t>https://g0v.hackmd.io/_9meJ-_0TaWNRpu8XXO_SQ?both</t>
  </si>
  <si>
    <t>17:45</t>
  </si>
  <si>
    <t>你想知道關於 g0v 的什麼？</t>
  </si>
  <si>
    <t>.</t>
  </si>
  <si>
    <t>17:50</t>
  </si>
  <si>
    <t>MrOrz</t>
  </si>
  <si>
    <t>17:55</t>
  </si>
  <si>
    <t>vTaiwan 新聞自由的界限</t>
  </si>
  <si>
    <t>https://g0v.hackmd.io/rPUpdQTYS9O5oP7r9sbHTA?view</t>
  </si>
  <si>
    <t>https://vtw.link</t>
  </si>
  <si>
    <t>假新聞、不實訊息、媒體自律</t>
  </si>
  <si>
    <t>https://docs.google.com/presentation/d/1aA3ZBGTUaKLJEbh9RYGGecykNh49vs818EadsZm4ik0/edit#slide=id.g5a959fe18f_0_0</t>
  </si>
  <si>
    <t>18:00</t>
  </si>
  <si>
    <t>聯合餐聽</t>
  </si>
  <si>
    <t>開場場地 舞台</t>
  </si>
  <si>
    <t>食物區</t>
  </si>
  <si>
    <t xml:space="preserve">Wikidata Taiwan </t>
  </si>
  <si>
    <t>大河小溪齊督工</t>
  </si>
  <si>
    <t>門</t>
  </si>
  <si>
    <t xml:space="preserve">鄉民看電視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</si>
</sst>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33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sz val="10.0"/>
      <color rgb="FF000000"/>
    </font>
    <font/>
    <font>
      <color rgb="FF0000FF"/>
    </font>
    <font>
      <color rgb="FFFF9900"/>
    </font>
    <font>
      <color rgb="FF1155CC"/>
    </font>
    <font>
      <u/>
      <color rgb="FF0000FF"/>
    </font>
    <font>
      <u/>
      <color rgb="FF1155CC"/>
      <name val="Arial"/>
    </font>
    <font>
      <u/>
      <color rgb="FF1155CC"/>
      <name val="Arial"/>
    </font>
    <font>
      <name val="Arial"/>
    </font>
    <font>
      <u/>
      <color rgb="FF0000FF"/>
    </font>
    <font>
      <color rgb="FF000000"/>
      <name val="Arial"/>
    </font>
    <font>
      <sz val="10.0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sz val="10.0"/>
      <color rgb="FF0000FF"/>
    </font>
    <font>
      <u/>
      <color rgb="FF0000FF"/>
      <name val="Arial"/>
    </font>
    <font>
      <color rgb="FF000000"/>
    </font>
    <font>
      <u/>
      <sz val="12.0"/>
      <color rgb="FF0000FF"/>
    </font>
    <font>
      <sz val="11.0"/>
    </font>
    <font>
      <sz val="11.0"/>
      <color rgb="FF2B80B9"/>
    </font>
    <font>
      <u/>
      <sz val="10.0"/>
      <color rgb="FF0000FF"/>
    </font>
    <font>
      <u/>
      <sz val="10.0"/>
      <color rgb="FF0000FF"/>
    </font>
    <font>
      <sz val="14.0"/>
    </font>
    <font>
      <sz val="12.0"/>
    </font>
    <font>
      <sz val="36.0"/>
    </font>
    <font>
      <sz val="6.0"/>
    </font>
  </fonts>
  <fills count="11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1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20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shrinkToFit="0" wrapText="1"/>
    </xf>
    <xf borderId="0" fillId="0" fontId="12" numFmtId="0" xfId="0" applyAlignment="1" applyFont="1">
      <alignment shrinkToFit="0" wrapText="1"/>
    </xf>
    <xf borderId="0" fillId="0" fontId="13" numFmtId="0" xfId="0" applyAlignment="1" applyFont="1">
      <alignment shrinkToFit="0" vertical="bottom" wrapText="1"/>
    </xf>
    <xf borderId="0" fillId="0" fontId="14" numFmtId="0" xfId="0" applyAlignment="1" applyFont="1">
      <alignment readingOrder="0" shrinkToFit="0" wrapText="1"/>
    </xf>
    <xf borderId="0" fillId="5" fontId="15" numFmtId="0" xfId="0" applyAlignment="1" applyFill="1" applyFont="1">
      <alignment horizontal="left" readingOrder="0" shrinkToFit="0" wrapText="1"/>
    </xf>
    <xf borderId="0" fillId="0" fontId="16" numFmtId="0" xfId="0" applyAlignment="1" applyFont="1">
      <alignment horizontal="left" readingOrder="0" shrinkToFit="0" wrapText="1"/>
    </xf>
    <xf borderId="0" fillId="6" fontId="6" numFmtId="0" xfId="0" applyAlignment="1" applyFill="1" applyFont="1">
      <alignment shrinkToFit="0" wrapText="1"/>
    </xf>
    <xf borderId="0" fillId="0" fontId="15" numFmtId="0" xfId="0" applyAlignment="1" applyFont="1">
      <alignment readingOrder="0" shrinkToFit="0" wrapText="1"/>
    </xf>
    <xf borderId="0" fillId="3" fontId="13" numFmtId="0" xfId="0" applyAlignment="1" applyFont="1">
      <alignment horizontal="center" shrinkToFit="0" wrapText="1"/>
    </xf>
    <xf borderId="0" fillId="0" fontId="13" numFmtId="0" xfId="0" applyAlignment="1" applyFont="1">
      <alignment readingOrder="0" shrinkToFit="0" wrapText="1"/>
    </xf>
    <xf borderId="0" fillId="5" fontId="17" numFmtId="0" xfId="0" applyAlignment="1" applyFont="1">
      <alignment readingOrder="0" shrinkToFit="0" wrapText="1"/>
    </xf>
    <xf borderId="0" fillId="0" fontId="18" numFmtId="0" xfId="0" applyAlignment="1" applyFont="1">
      <alignment readingOrder="0" shrinkToFit="0" wrapText="1"/>
    </xf>
    <xf borderId="0" fillId="0" fontId="13" numFmtId="0" xfId="0" applyAlignment="1" applyFont="1">
      <alignment shrinkToFit="0" wrapText="1"/>
    </xf>
    <xf borderId="0" fillId="0" fontId="13" numFmtId="0" xfId="0" applyAlignment="1" applyFont="1">
      <alignment shrinkToFit="0" wrapText="1"/>
    </xf>
    <xf borderId="0" fillId="0" fontId="19" numFmtId="0" xfId="0" applyAlignment="1" applyFont="1">
      <alignment readingOrder="0" shrinkToFit="0" wrapText="1"/>
    </xf>
    <xf borderId="0" fillId="0" fontId="20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top" wrapText="1"/>
    </xf>
    <xf borderId="0" fillId="5" fontId="0" numFmtId="0" xfId="0" applyAlignment="1" applyFont="1">
      <alignment readingOrder="0" shrinkToFit="0" vertical="center" wrapText="1"/>
    </xf>
    <xf borderId="0" fillId="5" fontId="21" numFmtId="0" xfId="0" applyAlignment="1" applyFont="1">
      <alignment horizontal="left" readingOrder="0" shrinkToFit="0" vertical="center" wrapText="1"/>
    </xf>
    <xf borderId="0" fillId="0" fontId="22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3" fontId="13" numFmtId="0" xfId="0" applyAlignment="1" applyFont="1">
      <alignment horizontal="center" readingOrder="0" shrinkToFit="0" wrapText="1"/>
    </xf>
    <xf borderId="0" fillId="0" fontId="13" numFmtId="0" xfId="0" applyAlignment="1" applyFont="1">
      <alignment readingOrder="0" shrinkToFit="0" vertical="center" wrapText="1"/>
    </xf>
    <xf borderId="0" fillId="7" fontId="6" numFmtId="0" xfId="0" applyAlignment="1" applyFill="1" applyFont="1">
      <alignment readingOrder="0" shrinkToFit="0" vertical="center" wrapText="1"/>
    </xf>
    <xf borderId="0" fillId="7" fontId="6" numFmtId="20" xfId="0" applyAlignment="1" applyFont="1" applyNumberFormat="1">
      <alignment horizontal="center" readingOrder="0" shrinkToFit="0" vertical="center" wrapText="1"/>
    </xf>
    <xf borderId="0" fillId="7" fontId="6" numFmtId="0" xfId="0" applyAlignment="1" applyFont="1">
      <alignment horizontal="center" readingOrder="0" shrinkToFit="0" vertical="center" wrapText="1"/>
    </xf>
    <xf quotePrefix="1" borderId="0" fillId="7" fontId="6" numFmtId="0" xfId="0" applyAlignment="1" applyFont="1">
      <alignment readingOrder="0" shrinkToFit="0" vertical="center" wrapText="1"/>
    </xf>
    <xf borderId="0" fillId="7" fontId="6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righ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23" numFmtId="0" xfId="0" applyAlignment="1" applyFont="1">
      <alignment readingOrder="0" shrinkToFit="0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24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16" numFmtId="20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8" fontId="6" numFmtId="0" xfId="0" applyAlignment="1" applyFill="1" applyFont="1">
      <alignment shrinkToFit="0" vertical="center" wrapText="1"/>
    </xf>
    <xf borderId="0" fillId="8" fontId="16" numFmtId="0" xfId="0" applyAlignment="1" applyFont="1">
      <alignment horizontal="center" readingOrder="0" shrinkToFit="0" vertical="center" wrapText="1"/>
    </xf>
    <xf borderId="0" fillId="8" fontId="6" numFmtId="0" xfId="0" applyAlignment="1" applyFont="1">
      <alignment horizontal="center" shrinkToFit="0" vertical="center" wrapText="1"/>
    </xf>
    <xf quotePrefix="1" borderId="0" fillId="8" fontId="16" numFmtId="0" xfId="0" applyAlignment="1" applyFont="1">
      <alignment horizontal="center" readingOrder="0" shrinkToFit="0" vertical="center" wrapText="1"/>
    </xf>
    <xf borderId="0" fillId="8" fontId="6" numFmtId="0" xfId="0" applyAlignment="1" applyFont="1">
      <alignment readingOrder="0" shrinkToFit="0" vertical="center" wrapText="1"/>
    </xf>
    <xf borderId="0" fillId="8" fontId="6" numFmtId="0" xfId="0" applyAlignment="1" applyFont="1">
      <alignment horizontal="center" readingOrder="0" shrinkToFit="0" vertical="center" wrapText="1"/>
    </xf>
    <xf borderId="0" fillId="9" fontId="6" numFmtId="0" xfId="0" applyAlignment="1" applyFill="1" applyFont="1">
      <alignment shrinkToFit="0" wrapText="1"/>
    </xf>
    <xf borderId="0" fillId="3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readingOrder="0" shrinkToFit="0" vertical="center" wrapText="1"/>
    </xf>
    <xf borderId="0" fillId="5" fontId="16" numFmtId="0" xfId="0" applyAlignment="1" applyFont="1">
      <alignment horizontal="left" readingOrder="0" shrinkToFit="0" wrapText="1"/>
    </xf>
    <xf borderId="0" fillId="0" fontId="16" numFmtId="0" xfId="0" applyAlignment="1" applyFont="1">
      <alignment readingOrder="0" shrinkToFit="0" wrapText="1"/>
    </xf>
    <xf borderId="0" fillId="0" fontId="26" numFmtId="0" xfId="0" applyAlignment="1" applyFont="1">
      <alignment readingOrder="0" shrinkToFit="0" wrapText="1"/>
    </xf>
    <xf borderId="0" fillId="5" fontId="27" numFmtId="0" xfId="0" applyAlignment="1" applyFont="1">
      <alignment horizontal="left" readingOrder="0" shrinkToFit="0" wrapText="1"/>
    </xf>
    <xf borderId="0" fillId="5" fontId="28" numFmtId="0" xfId="0" applyAlignment="1" applyFont="1">
      <alignment horizontal="left" readingOrder="0" shrinkToFit="0" wrapText="1"/>
    </xf>
    <xf borderId="0" fillId="5" fontId="16" numFmtId="0" xfId="0" applyAlignment="1" applyFont="1">
      <alignment readingOrder="0" shrinkToFit="0" wrapText="1"/>
    </xf>
    <xf borderId="0" fillId="10" fontId="6" numFmtId="0" xfId="0" applyAlignment="1" applyFill="1" applyFont="1">
      <alignment shrinkToFit="0" vertical="center" wrapText="1"/>
    </xf>
    <xf borderId="0" fillId="10" fontId="6" numFmtId="0" xfId="0" applyAlignment="1" applyFont="1">
      <alignment horizontal="center" shrinkToFit="0" vertical="center" wrapText="1"/>
    </xf>
    <xf borderId="0" fillId="10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bottom" wrapText="1"/>
    </xf>
    <xf borderId="1" fillId="0" fontId="29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horizontal="center" shrinkToFit="0" vertical="center" wrapText="1"/>
    </xf>
    <xf borderId="2" fillId="0" fontId="30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4" fillId="10" fontId="31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shrinkToFit="0" wrapText="1"/>
    </xf>
    <xf borderId="6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2" fillId="0" fontId="32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shrinkToFit="0" wrapText="1"/>
    </xf>
    <xf borderId="9" fillId="0" fontId="6" numFmtId="0" xfId="0" applyAlignment="1" applyBorder="1" applyFont="1">
      <alignment shrinkToFit="0" wrapText="1"/>
    </xf>
    <xf borderId="10" fillId="0" fontId="6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shrinkToFit="0" wrapText="1"/>
    </xf>
    <xf borderId="12" fillId="0" fontId="6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0v.hackmd.io/s/H1NjSr86E" TargetMode="External"/><Relationship Id="rId42" Type="http://schemas.openxmlformats.org/officeDocument/2006/relationships/hyperlink" Target="https://drive.google.com/file/d/1Px1T91Dh0-8XWgppYhZFWcyY72_enJlg/view?usp=sharing" TargetMode="External"/><Relationship Id="rId41" Type="http://schemas.openxmlformats.org/officeDocument/2006/relationships/hyperlink" Target="https://drive.google.com/file/d/1jdWwq8ix7V_CJqJQpTeDXKpKMc4GqNqj/view?usp=sharing" TargetMode="External"/><Relationship Id="rId44" Type="http://schemas.openxmlformats.org/officeDocument/2006/relationships/hyperlink" Target="https://youtu.be/ZAjNl5OMCO4" TargetMode="External"/><Relationship Id="rId43" Type="http://schemas.openxmlformats.org/officeDocument/2006/relationships/hyperlink" Target="https://www.facebook.com/pages/category/Community/Asian-Human-Rights-Court-Simulation-321954101916695/" TargetMode="External"/><Relationship Id="rId46" Type="http://schemas.openxmlformats.org/officeDocument/2006/relationships/hyperlink" Target="https://docs.google.com/presentation/d/1ZKvwj6cnbrO-6Cxf5PHnueHHKAI2tdbUQgpbB9-6qTI/edit" TargetMode="External"/><Relationship Id="rId45" Type="http://schemas.openxmlformats.org/officeDocument/2006/relationships/hyperlink" Target="https://docs.google.com/presentation/d/1lAHmB1Iz7x_X6vxWHwYmaiYOvA_BqEFk0mQXuYFq-XQ/edit?usp=sharing" TargetMode="External"/><Relationship Id="rId1" Type="http://schemas.openxmlformats.org/officeDocument/2006/relationships/hyperlink" Target="https://docs.google.com/presentation/d/1cegJ0y_tvMJso35sd_UVxJctGi_ndiE3D1mblEeGxDM/edit" TargetMode="External"/><Relationship Id="rId2" Type="http://schemas.openxmlformats.org/officeDocument/2006/relationships/hyperlink" Target="https://www.youtube.com/playlist?list=PLwquGFDLGAoXmYoOR3cvSvijlp7C_SSbg&amp;app=desktop" TargetMode="External"/><Relationship Id="rId3" Type="http://schemas.openxmlformats.org/officeDocument/2006/relationships/hyperlink" Target="https://docs.google.com/presentation/d/1iwZH1u5xmclgvz6XPiZRjtL-ybDCkGr5UCICcXbSj1k/edit" TargetMode="External"/><Relationship Id="rId4" Type="http://schemas.openxmlformats.org/officeDocument/2006/relationships/hyperlink" Target="https://drive.google.com/file/d/1n9obvMnDIdVzbAfgepBKkwZiOsPXNj4W/view?usp=sharing" TargetMode="External"/><Relationship Id="rId9" Type="http://schemas.openxmlformats.org/officeDocument/2006/relationships/hyperlink" Target="https://docs.google.com/presentation/d/1fFURRk6y-zSJTGpw_4zjJ-USBD6EMbbofV2UB90FLbE/edit" TargetMode="External"/><Relationship Id="rId48" Type="http://schemas.openxmlformats.org/officeDocument/2006/relationships/hyperlink" Target="https://forms.gle/bdMFW3a4y78BRgiD7" TargetMode="External"/><Relationship Id="rId47" Type="http://schemas.openxmlformats.org/officeDocument/2006/relationships/hyperlink" Target="http://trust-forum.net" TargetMode="External"/><Relationship Id="rId49" Type="http://schemas.openxmlformats.org/officeDocument/2006/relationships/hyperlink" Target="https://docs.google.com/document/d/1mhtwPgUi90z-TD9po2Ap1maTuNoYGUTeTa10T66yyWE/edit" TargetMode="External"/><Relationship Id="rId5" Type="http://schemas.openxmlformats.org/officeDocument/2006/relationships/hyperlink" Target="https://drive.google.com/drive/u/1/my-drive" TargetMode="External"/><Relationship Id="rId6" Type="http://schemas.openxmlformats.org/officeDocument/2006/relationships/hyperlink" Target="https://drive.google.com/file/d/1Uae9lgTOQvFpvI64m_ebyf3fkLlt29tj/view?usp=sharing" TargetMode="External"/><Relationship Id="rId7" Type="http://schemas.openxmlformats.org/officeDocument/2006/relationships/hyperlink" Target="https://github.com/g0v/amis-moedict" TargetMode="External"/><Relationship Id="rId8" Type="http://schemas.openxmlformats.org/officeDocument/2006/relationships/hyperlink" Target="https://amis.moedict.tw/" TargetMode="External"/><Relationship Id="rId31" Type="http://schemas.openxmlformats.org/officeDocument/2006/relationships/hyperlink" Target="http://wikidata.org" TargetMode="External"/><Relationship Id="rId30" Type="http://schemas.openxmlformats.org/officeDocument/2006/relationships/hyperlink" Target="https://docs.google.com/presentation/d/1k_SCDfk5n-yBFs49q0ILDiLaOuuzCXjG3d-Rn4iecTg/edit?usp=sharing" TargetMode="External"/><Relationship Id="rId33" Type="http://schemas.openxmlformats.org/officeDocument/2006/relationships/hyperlink" Target="https://g0v.hackmd.io/s/BJdh4XE-V" TargetMode="External"/><Relationship Id="rId32" Type="http://schemas.openxmlformats.org/officeDocument/2006/relationships/hyperlink" Target="https://g0v.hackmd.io/whji1g-UROWEzCvylrb44Q" TargetMode="External"/><Relationship Id="rId35" Type="http://schemas.openxmlformats.org/officeDocument/2006/relationships/hyperlink" Target="https://pdis.github.io/quadratic-voting-frontend/" TargetMode="External"/><Relationship Id="rId34" Type="http://schemas.openxmlformats.org/officeDocument/2006/relationships/hyperlink" Target="https://docs.google.com/presentation/d/1V4_xRHYy9t2r14Jmuv2QKHMtEcyCHk5H6pv_JyEGbew/edit?usp=sharing" TargetMode="External"/><Relationship Id="rId37" Type="http://schemas.openxmlformats.org/officeDocument/2006/relationships/hyperlink" Target="https://hackmd.io/XYoD2mRTRD-FLq7EHTUVKw" TargetMode="External"/><Relationship Id="rId36" Type="http://schemas.openxmlformats.org/officeDocument/2006/relationships/hyperlink" Target="https://g0v.hackpad.tw/Ptt--ctwZwU7BxcJ" TargetMode="External"/><Relationship Id="rId39" Type="http://schemas.openxmlformats.org/officeDocument/2006/relationships/hyperlink" Target="https://docs.google.com/presentation/d/1Z9L3f4tMBkBjtT9T_KolA8F94kI7wcclIDcyzdyDQ4o/edit?usp=sharing" TargetMode="External"/><Relationship Id="rId38" Type="http://schemas.openxmlformats.org/officeDocument/2006/relationships/hyperlink" Target="https://www.facebook.com/TwGovStopBSus/" TargetMode="External"/><Relationship Id="rId62" Type="http://schemas.openxmlformats.org/officeDocument/2006/relationships/hyperlink" Target="https://cofacts.g0v.tw" TargetMode="External"/><Relationship Id="rId61" Type="http://schemas.openxmlformats.org/officeDocument/2006/relationships/hyperlink" Target="https://cofacts.g0v.tw/hack" TargetMode="External"/><Relationship Id="rId20" Type="http://schemas.openxmlformats.org/officeDocument/2006/relationships/hyperlink" Target="https://cofacts.g0v.tw/hack" TargetMode="External"/><Relationship Id="rId64" Type="http://schemas.openxmlformats.org/officeDocument/2006/relationships/hyperlink" Target="https://g0v.hackmd.io/rPUpdQTYS9O5oP7r9sbHTA?view" TargetMode="External"/><Relationship Id="rId63" Type="http://schemas.openxmlformats.org/officeDocument/2006/relationships/hyperlink" Target="https://docs.google.com/presentation/d/1A1hLnyDIMXObY--gIp1ElHhVQGl_lKHMxL2habMWV2g/edit" TargetMode="External"/><Relationship Id="rId22" Type="http://schemas.openxmlformats.org/officeDocument/2006/relationships/hyperlink" Target="https://docs.google.com/presentation/d/1A1hLnyDIMXObY--gIp1ElHhVQGl_lKHMxL2habMWV2g/edit" TargetMode="External"/><Relationship Id="rId66" Type="http://schemas.openxmlformats.org/officeDocument/2006/relationships/hyperlink" Target="https://docs.google.com/presentation/d/1aA3ZBGTUaKLJEbh9RYGGecykNh49vs818EadsZm4ik0/edit" TargetMode="External"/><Relationship Id="rId21" Type="http://schemas.openxmlformats.org/officeDocument/2006/relationships/hyperlink" Target="https://cofacts.g0v.tw" TargetMode="External"/><Relationship Id="rId65" Type="http://schemas.openxmlformats.org/officeDocument/2006/relationships/hyperlink" Target="https://vtw.link" TargetMode="External"/><Relationship Id="rId24" Type="http://schemas.openxmlformats.org/officeDocument/2006/relationships/hyperlink" Target="https://hackmd.io/VdW-NEO7TrCyGwVRnkXafg?both" TargetMode="External"/><Relationship Id="rId23" Type="http://schemas.openxmlformats.org/officeDocument/2006/relationships/hyperlink" Target="https://docs.google.com/presentation/d/1qtmOvrJS-zeYLAhgshr0qja2XCLFqt-lEHCe5Fp1CAw/edit?usp=sharing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https://g0v.hackmd.io/_9meJ-_0TaWNRpu8XXO_SQ?both" TargetMode="External"/><Relationship Id="rId26" Type="http://schemas.openxmlformats.org/officeDocument/2006/relationships/hyperlink" Target="https://hackmd.io/O-JSzUuLRGK7KAa3kbQSBA?both" TargetMode="External"/><Relationship Id="rId25" Type="http://schemas.openxmlformats.org/officeDocument/2006/relationships/hyperlink" Target="https://hackmd.io/BRsHMIh5Tx6kaV0eymXEbQ?edit" TargetMode="External"/><Relationship Id="rId28" Type="http://schemas.openxmlformats.org/officeDocument/2006/relationships/hyperlink" Target="https://g0v.hackmd.io/ylFvVwGSTPCmQGH4gGsFRw?both" TargetMode="External"/><Relationship Id="rId27" Type="http://schemas.openxmlformats.org/officeDocument/2006/relationships/hyperlink" Target="https://drive.google.com/open?id=19G9VpzolF8KJh7JuI2s9NmGTWd4pOv_7" TargetMode="External"/><Relationship Id="rId29" Type="http://schemas.openxmlformats.org/officeDocument/2006/relationships/hyperlink" Target="https://docs.google.com/presentation/d/1k_SCDfk5n-yBFs49q0ILDiLaOuuzCXjG3d-Rn4iecTg/edit?usp=sharing" TargetMode="External"/><Relationship Id="rId51" Type="http://schemas.openxmlformats.org/officeDocument/2006/relationships/hyperlink" Target="https://hackmd.io/s/BkLR8rIT4" TargetMode="External"/><Relationship Id="rId50" Type="http://schemas.openxmlformats.org/officeDocument/2006/relationships/hyperlink" Target="https://g0v.hackmd.io/s/By-3oyz9N" TargetMode="External"/><Relationship Id="rId53" Type="http://schemas.openxmlformats.org/officeDocument/2006/relationships/hyperlink" Target="https://docs.google.com/presentation/d/1yNRjadvWYBsVOgRnoMDH8vGOSv0-aJ88YE5Zy1em7h0" TargetMode="External"/><Relationship Id="rId52" Type="http://schemas.openxmlformats.org/officeDocument/2006/relationships/hyperlink" Target="https://beta.hackfoldr.org/rentea/" TargetMode="External"/><Relationship Id="rId11" Type="http://schemas.openxmlformats.org/officeDocument/2006/relationships/hyperlink" Target="https://g0v.hackmd.io/_9meJ-_0TaWNRpu8XXO_SQ" TargetMode="External"/><Relationship Id="rId55" Type="http://schemas.openxmlformats.org/officeDocument/2006/relationships/hyperlink" Target="https://docs.google.com/presentation/d/1yNRjadvWYBsVOgRnoMDH8vGOSv0-aJ88YE5Zy1em7h0" TargetMode="External"/><Relationship Id="rId10" Type="http://schemas.openxmlformats.org/officeDocument/2006/relationships/hyperlink" Target="https://docs.google.com/presentation/d/1Vmexsaq6zqLzJrkvBPih9tEKjWyGVtYnlASgJQ1e24E/edit" TargetMode="External"/><Relationship Id="rId54" Type="http://schemas.openxmlformats.org/officeDocument/2006/relationships/hyperlink" Target="https://youtu.be/DEFwuSsgqpI" TargetMode="External"/><Relationship Id="rId13" Type="http://schemas.openxmlformats.org/officeDocument/2006/relationships/hyperlink" Target="https://www.youtube.com/watch?v=McIkusSFtjI" TargetMode="External"/><Relationship Id="rId57" Type="http://schemas.openxmlformats.org/officeDocument/2006/relationships/hyperlink" Target="https://hackmd.io/yas0Mk_MTPCFihUSQwLfnw" TargetMode="External"/><Relationship Id="rId12" Type="http://schemas.openxmlformats.org/officeDocument/2006/relationships/hyperlink" Target="https://docs.google.com/presentation/d/1HRWiDDaZ9KX9SLLNoyETyrILY1D6i4sBesvdTPdDN8c/edit" TargetMode="External"/><Relationship Id="rId56" Type="http://schemas.openxmlformats.org/officeDocument/2006/relationships/hyperlink" Target="https://g0v.hackmd.io/whji1g-UROWEzCvylrb44Q?both" TargetMode="External"/><Relationship Id="rId15" Type="http://schemas.openxmlformats.org/officeDocument/2006/relationships/hyperlink" Target="https://tvnews-logger.g0v.ronny.tw/" TargetMode="External"/><Relationship Id="rId59" Type="http://schemas.openxmlformats.org/officeDocument/2006/relationships/hyperlink" Target="https://g0v.hackmd.io/c/HJJH5046V/%2FCW8EUUWATCqZL47TJmx8xQ" TargetMode="External"/><Relationship Id="rId14" Type="http://schemas.openxmlformats.org/officeDocument/2006/relationships/hyperlink" Target="https://g0v.hackmd.io/t8UcxLiTRq6RyWToNZskMQ?view" TargetMode="External"/><Relationship Id="rId58" Type="http://schemas.openxmlformats.org/officeDocument/2006/relationships/hyperlink" Target="https://github.com/agameofprivacy/better-news" TargetMode="External"/><Relationship Id="rId17" Type="http://schemas.openxmlformats.org/officeDocument/2006/relationships/hyperlink" Target="https://polis.pdis.nat.gov.tw/8m7p5emh8m" TargetMode="External"/><Relationship Id="rId16" Type="http://schemas.openxmlformats.org/officeDocument/2006/relationships/hyperlink" Target="http://vtw.link" TargetMode="External"/><Relationship Id="rId19" Type="http://schemas.openxmlformats.org/officeDocument/2006/relationships/hyperlink" Target="https://docs.google.com/presentation/d/1k7SLOZ76RkUsxYV2nJ5abjvfHSCo2TEIb0xGFAi1swE/edit?usp=sharing" TargetMode="External"/><Relationship Id="rId18" Type="http://schemas.openxmlformats.org/officeDocument/2006/relationships/hyperlink" Target="https://docs.google.com/presentation/d/1l7h5fxy97ZZuDobiNBzsIYoGCDVNUn6eBcUTYUyN3Ks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tvnews-logger.g0v.ronny.tw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6.13"/>
    <col customWidth="1" min="6" max="6" width="34.13"/>
    <col customWidth="1" min="7" max="7" width="11.0"/>
    <col customWidth="1" min="8" max="8" width="48.63"/>
    <col customWidth="1" min="9" max="9" width="28.38"/>
    <col customWidth="1" min="10" max="10" width="21.0"/>
    <col customWidth="1" min="11" max="12" width="22.5"/>
    <col customWidth="1" min="13" max="13" width="15.5"/>
    <col customWidth="1" min="14" max="14" width="18.13"/>
    <col customWidth="1" min="15" max="15" width="34.88"/>
  </cols>
  <sheetData>
    <row r="1" ht="23.25" hidden="1" customHeight="1">
      <c r="A1" s="1"/>
      <c r="L1" s="1"/>
      <c r="M1" s="2"/>
      <c r="N1" s="2"/>
      <c r="O1" s="2"/>
    </row>
    <row r="2" ht="15.0" customHeight="1">
      <c r="A2" s="3"/>
      <c r="B2" s="4" t="s">
        <v>0</v>
      </c>
      <c r="C2" s="5" t="s">
        <v>1</v>
      </c>
      <c r="D2" s="4" t="s">
        <v>2</v>
      </c>
      <c r="E2" s="6" t="s">
        <v>3</v>
      </c>
      <c r="F2" s="4" t="s">
        <v>4</v>
      </c>
      <c r="G2" s="4" t="s">
        <v>5</v>
      </c>
      <c r="H2" s="3" t="s">
        <v>6</v>
      </c>
      <c r="I2" s="3" t="s">
        <v>7</v>
      </c>
      <c r="J2" s="4" t="s">
        <v>8</v>
      </c>
      <c r="K2" s="4" t="s">
        <v>9</v>
      </c>
      <c r="L2" s="3" t="s">
        <v>10</v>
      </c>
      <c r="M2" s="4" t="s">
        <v>11</v>
      </c>
      <c r="N2" s="4" t="s">
        <v>12</v>
      </c>
      <c r="O2" s="4" t="s">
        <v>13</v>
      </c>
    </row>
    <row r="3" ht="22.5" customHeight="1">
      <c r="A3" s="7"/>
      <c r="B3" s="8"/>
      <c r="C3" s="9"/>
      <c r="E3" s="10"/>
      <c r="F3" s="11" t="s">
        <v>14</v>
      </c>
      <c r="G3" s="12"/>
      <c r="H3" s="12"/>
      <c r="I3" s="13" t="s">
        <v>15</v>
      </c>
      <c r="J3" s="11"/>
      <c r="K3" s="11"/>
      <c r="L3" s="11"/>
      <c r="M3" s="11"/>
      <c r="N3" s="14"/>
      <c r="O3" s="11"/>
    </row>
    <row r="4" ht="22.5" customHeight="1">
      <c r="A4" s="7"/>
      <c r="B4" s="8"/>
      <c r="C4" s="9"/>
      <c r="E4" s="10"/>
      <c r="F4" s="11" t="s">
        <v>16</v>
      </c>
      <c r="G4" s="12" t="s">
        <v>17</v>
      </c>
      <c r="H4" s="12"/>
      <c r="I4" s="13" t="s">
        <v>18</v>
      </c>
      <c r="J4" s="11"/>
      <c r="K4" s="11"/>
      <c r="L4" s="11"/>
      <c r="M4" s="11"/>
      <c r="N4" s="14"/>
      <c r="O4" s="11"/>
    </row>
    <row r="5" ht="22.5" customHeight="1">
      <c r="A5" s="7"/>
      <c r="B5" s="8"/>
      <c r="C5" s="9"/>
      <c r="E5" s="10"/>
      <c r="F5" s="11" t="s">
        <v>19</v>
      </c>
      <c r="G5" s="12"/>
      <c r="H5" s="12"/>
      <c r="I5" s="13" t="s">
        <v>20</v>
      </c>
      <c r="J5" s="11"/>
      <c r="K5" s="11"/>
      <c r="L5" s="11"/>
      <c r="M5" s="11"/>
      <c r="N5" s="14"/>
      <c r="O5" s="11"/>
    </row>
    <row r="6" ht="22.5" customHeight="1">
      <c r="A6" s="7"/>
      <c r="B6" s="8"/>
      <c r="C6" s="9"/>
      <c r="E6" s="10"/>
      <c r="F6" s="11" t="s">
        <v>21</v>
      </c>
      <c r="G6" s="12"/>
      <c r="H6" s="12"/>
      <c r="I6" s="13" t="s">
        <v>22</v>
      </c>
      <c r="J6" s="11"/>
      <c r="K6" s="11"/>
      <c r="L6" s="11"/>
      <c r="M6" s="11"/>
      <c r="N6" s="14"/>
      <c r="O6" s="11"/>
    </row>
    <row r="7" ht="15.0" customHeight="1">
      <c r="A7" s="15" t="s">
        <v>23</v>
      </c>
    </row>
    <row r="8" ht="15.0" customHeight="1">
      <c r="A8" s="16"/>
      <c r="L8" s="16"/>
      <c r="M8" s="16"/>
      <c r="N8" s="16"/>
      <c r="O8" s="16"/>
    </row>
    <row r="9" ht="22.5" customHeight="1">
      <c r="A9" s="7">
        <v>1.0</v>
      </c>
      <c r="B9" s="8">
        <v>0.4027777777777778</v>
      </c>
      <c r="C9" s="9"/>
      <c r="D9" s="11" t="s">
        <v>24</v>
      </c>
      <c r="E9" s="10" t="s">
        <v>25</v>
      </c>
      <c r="F9" s="11" t="s">
        <v>26</v>
      </c>
      <c r="G9" s="12" t="s">
        <v>27</v>
      </c>
      <c r="H9" s="12"/>
      <c r="I9" s="17" t="s">
        <v>28</v>
      </c>
      <c r="J9" s="11" t="s">
        <v>29</v>
      </c>
      <c r="K9" s="11"/>
      <c r="L9" s="11"/>
      <c r="M9" s="11"/>
      <c r="N9" s="14"/>
      <c r="O9" s="18" t="s">
        <v>30</v>
      </c>
    </row>
    <row r="10" ht="15.0" customHeight="1">
      <c r="A10" s="7">
        <v>2.0</v>
      </c>
      <c r="B10" s="8">
        <v>0.4048611111111111</v>
      </c>
      <c r="C10" s="9"/>
      <c r="D10" s="11" t="s">
        <v>31</v>
      </c>
      <c r="E10" s="10" t="s">
        <v>25</v>
      </c>
      <c r="F10" s="11" t="s">
        <v>32</v>
      </c>
      <c r="G10" s="12" t="s">
        <v>27</v>
      </c>
      <c r="H10" s="19" t="s">
        <v>33</v>
      </c>
      <c r="I10" s="20" t="s">
        <v>34</v>
      </c>
      <c r="J10" s="21" t="s">
        <v>35</v>
      </c>
      <c r="K10" s="12"/>
      <c r="L10" s="11" t="s">
        <v>36</v>
      </c>
      <c r="M10" s="11"/>
      <c r="N10" s="14"/>
      <c r="O10" s="22" t="s">
        <v>37</v>
      </c>
    </row>
    <row r="11" ht="15.0" customHeight="1">
      <c r="A11" s="7">
        <v>3.0</v>
      </c>
      <c r="B11" s="8">
        <v>0.40694444444444444</v>
      </c>
      <c r="C11" s="9"/>
      <c r="D11" s="12" t="s">
        <v>38</v>
      </c>
      <c r="E11" s="10"/>
      <c r="F11" s="11" t="s">
        <v>39</v>
      </c>
      <c r="G11" s="12" t="s">
        <v>27</v>
      </c>
      <c r="I11" s="22" t="s">
        <v>40</v>
      </c>
      <c r="J11" s="12" t="s">
        <v>41</v>
      </c>
      <c r="K11" s="12"/>
      <c r="L11" s="23" t="s">
        <v>42</v>
      </c>
      <c r="M11" s="11"/>
      <c r="N11" s="14"/>
      <c r="O11" s="11"/>
    </row>
    <row r="12" ht="15.0" customHeight="1">
      <c r="A12" s="7">
        <v>4.0</v>
      </c>
      <c r="B12" s="8">
        <v>0.40902777777777777</v>
      </c>
      <c r="C12" s="9"/>
      <c r="D12" s="12" t="s">
        <v>43</v>
      </c>
      <c r="E12" s="10"/>
      <c r="F12" s="11" t="s">
        <v>44</v>
      </c>
      <c r="G12" s="11" t="s">
        <v>27</v>
      </c>
      <c r="H12" s="22" t="s">
        <v>45</v>
      </c>
      <c r="I12" s="22" t="s">
        <v>46</v>
      </c>
      <c r="J12" s="12" t="s">
        <v>47</v>
      </c>
      <c r="K12" s="12"/>
      <c r="L12" s="12" t="s">
        <v>48</v>
      </c>
    </row>
    <row r="13" ht="15.0" customHeight="1">
      <c r="A13" s="7">
        <v>5.0</v>
      </c>
      <c r="B13" s="8">
        <v>0.4111111111111111</v>
      </c>
      <c r="C13" s="9"/>
      <c r="D13" s="11" t="s">
        <v>49</v>
      </c>
      <c r="E13" s="10"/>
      <c r="F13" s="11" t="s">
        <v>50</v>
      </c>
      <c r="G13" s="11" t="s">
        <v>51</v>
      </c>
      <c r="H13" s="22" t="s">
        <v>52</v>
      </c>
      <c r="I13" s="18" t="s">
        <v>53</v>
      </c>
      <c r="J13" s="22" t="s">
        <v>54</v>
      </c>
      <c r="K13" s="11"/>
      <c r="L13" s="11"/>
      <c r="M13" s="11"/>
      <c r="N13" s="14"/>
      <c r="O13" s="11"/>
    </row>
    <row r="14" ht="15.0" customHeight="1">
      <c r="A14" s="7">
        <v>6.0</v>
      </c>
      <c r="B14" s="8">
        <v>0.4131944444444444</v>
      </c>
      <c r="C14" s="9"/>
      <c r="D14" s="11" t="s">
        <v>55</v>
      </c>
      <c r="E14" s="10" t="s">
        <v>56</v>
      </c>
      <c r="F14" s="11" t="s">
        <v>57</v>
      </c>
      <c r="G14" s="11" t="s">
        <v>58</v>
      </c>
      <c r="H14" s="22" t="s">
        <v>59</v>
      </c>
      <c r="I14" s="22" t="s">
        <v>60</v>
      </c>
      <c r="J14" s="24"/>
      <c r="K14" s="11" t="s">
        <v>61</v>
      </c>
      <c r="L14" s="11" t="s">
        <v>62</v>
      </c>
      <c r="M14" s="11"/>
      <c r="N14" s="14"/>
      <c r="O14" s="18" t="s">
        <v>63</v>
      </c>
    </row>
    <row r="15" ht="18.0" customHeight="1">
      <c r="A15" s="7">
        <v>7.0</v>
      </c>
      <c r="B15" s="8">
        <v>0.4152777777777778</v>
      </c>
      <c r="C15" s="9"/>
      <c r="D15" s="12" t="s">
        <v>64</v>
      </c>
      <c r="E15" s="25"/>
      <c r="F15" s="12"/>
      <c r="M15" s="11"/>
      <c r="N15" s="14"/>
      <c r="O15" s="11"/>
    </row>
    <row r="16" ht="15.0" customHeight="1">
      <c r="A16" s="7">
        <v>8.0</v>
      </c>
      <c r="B16" s="8">
        <v>0.4173611111111111</v>
      </c>
      <c r="C16" s="9"/>
      <c r="D16" s="11" t="s">
        <v>65</v>
      </c>
      <c r="E16" s="10" t="s">
        <v>56</v>
      </c>
      <c r="F16" s="11" t="s">
        <v>66</v>
      </c>
      <c r="G16" s="11" t="s">
        <v>58</v>
      </c>
      <c r="I16" s="22" t="s">
        <v>67</v>
      </c>
      <c r="J16" s="12" t="s">
        <v>68</v>
      </c>
      <c r="K16" s="12" t="s">
        <v>69</v>
      </c>
      <c r="L16" s="12" t="s">
        <v>70</v>
      </c>
      <c r="M16" s="11"/>
      <c r="N16" s="14"/>
      <c r="O16" s="11"/>
    </row>
    <row r="17" ht="15.0" customHeight="1">
      <c r="A17" s="7">
        <v>9.0</v>
      </c>
      <c r="B17" s="8">
        <v>0.41944444444444445</v>
      </c>
      <c r="C17" s="9"/>
      <c r="D17" s="26" t="s">
        <v>71</v>
      </c>
      <c r="E17" s="27" t="s">
        <v>56</v>
      </c>
      <c r="F17" s="28" t="s">
        <v>72</v>
      </c>
      <c r="G17" s="28" t="s">
        <v>73</v>
      </c>
      <c r="H17" s="29" t="s">
        <v>74</v>
      </c>
      <c r="I17" s="30" t="s">
        <v>75</v>
      </c>
      <c r="J17" s="28" t="s">
        <v>76</v>
      </c>
      <c r="K17" s="28" t="s">
        <v>77</v>
      </c>
      <c r="L17" s="31" t="s">
        <v>78</v>
      </c>
      <c r="M17" s="28" t="s">
        <v>79</v>
      </c>
      <c r="N17" s="32"/>
      <c r="O17" s="33" t="s">
        <v>80</v>
      </c>
    </row>
    <row r="18" ht="15.0" customHeight="1">
      <c r="A18" s="7">
        <v>10.0</v>
      </c>
      <c r="B18" s="8">
        <v>0.4215277777777778</v>
      </c>
      <c r="C18" s="9"/>
      <c r="D18" s="11" t="s">
        <v>81</v>
      </c>
      <c r="E18" s="10" t="s">
        <v>56</v>
      </c>
      <c r="F18" s="11" t="s">
        <v>82</v>
      </c>
      <c r="G18" s="11" t="s">
        <v>83</v>
      </c>
      <c r="H18" s="34" t="str">
        <f>HYPERLINK("https://beta.hackfoldr.org/rentea/","所有資料")</f>
        <v>所有資料</v>
      </c>
      <c r="I18" s="34" t="str">
        <f>HYPERLINK("https://docs.google.com/presentation/d/1yWthDdbqVOv97_oq7YDrdX69Pi_m96rFGxjsnqWsvuU/edit","使用者研究報告")</f>
        <v>使用者研究報告</v>
      </c>
      <c r="J18" s="11" t="s">
        <v>84</v>
      </c>
      <c r="K18" s="11" t="s">
        <v>85</v>
      </c>
      <c r="L18" s="11" t="s">
        <v>86</v>
      </c>
      <c r="M18" s="11"/>
      <c r="N18" s="14"/>
      <c r="O18" s="18" t="s">
        <v>87</v>
      </c>
    </row>
    <row r="19" ht="15.0" customHeight="1">
      <c r="A19" s="7">
        <v>11.0</v>
      </c>
      <c r="B19" s="8">
        <v>0.4236111111111111</v>
      </c>
      <c r="C19" s="9"/>
      <c r="D19" s="23" t="s">
        <v>88</v>
      </c>
      <c r="E19" s="10"/>
      <c r="F19" s="11" t="s">
        <v>89</v>
      </c>
      <c r="G19" s="11" t="s">
        <v>58</v>
      </c>
      <c r="H19" s="18" t="s">
        <v>90</v>
      </c>
      <c r="I19" s="18" t="s">
        <v>91</v>
      </c>
      <c r="J19" s="35" t="s">
        <v>92</v>
      </c>
      <c r="K19" s="35" t="s">
        <v>93</v>
      </c>
      <c r="L19" s="35" t="s">
        <v>94</v>
      </c>
      <c r="M19" s="11"/>
      <c r="N19" s="14"/>
      <c r="O19" s="11"/>
    </row>
    <row r="20" ht="15.0" customHeight="1">
      <c r="A20" s="7">
        <v>12.0</v>
      </c>
      <c r="B20" s="8">
        <v>0.42569444444444443</v>
      </c>
      <c r="C20" s="9"/>
      <c r="D20" s="7" t="s">
        <v>95</v>
      </c>
      <c r="E20" s="10" t="s">
        <v>56</v>
      </c>
      <c r="F20" s="36" t="s">
        <v>96</v>
      </c>
      <c r="G20" s="11" t="s">
        <v>58</v>
      </c>
      <c r="H20" s="37" t="s">
        <v>97</v>
      </c>
      <c r="I20" s="11"/>
      <c r="J20" s="11" t="s">
        <v>98</v>
      </c>
      <c r="K20" s="11" t="s">
        <v>99</v>
      </c>
      <c r="L20" s="11" t="s">
        <v>100</v>
      </c>
      <c r="M20" s="11"/>
      <c r="N20" s="14"/>
      <c r="O20" s="18" t="s">
        <v>101</v>
      </c>
    </row>
    <row r="21" ht="15.0" customHeight="1">
      <c r="A21" s="7">
        <v>13.0</v>
      </c>
      <c r="B21" s="8">
        <v>0.42777777777777776</v>
      </c>
      <c r="C21" s="9"/>
      <c r="D21" s="12" t="s">
        <v>102</v>
      </c>
      <c r="E21" s="10" t="s">
        <v>56</v>
      </c>
      <c r="F21" s="12" t="s">
        <v>103</v>
      </c>
      <c r="G21" s="12" t="s">
        <v>27</v>
      </c>
      <c r="H21" s="38" t="s">
        <v>104</v>
      </c>
      <c r="I21" s="18" t="s">
        <v>105</v>
      </c>
      <c r="J21" s="11" t="s">
        <v>106</v>
      </c>
      <c r="K21" s="11" t="s">
        <v>107</v>
      </c>
      <c r="L21" s="11" t="s">
        <v>108</v>
      </c>
      <c r="M21" s="11"/>
      <c r="N21" s="14"/>
      <c r="O21" s="18" t="s">
        <v>105</v>
      </c>
    </row>
    <row r="22" ht="15.0" customHeight="1">
      <c r="A22" s="7">
        <v>14.0</v>
      </c>
      <c r="B22" s="8">
        <v>0.42986111111111114</v>
      </c>
      <c r="C22" s="9"/>
      <c r="D22" s="11" t="s">
        <v>109</v>
      </c>
      <c r="E22" s="10" t="s">
        <v>25</v>
      </c>
      <c r="F22" s="11" t="s">
        <v>110</v>
      </c>
      <c r="G22" s="11" t="s">
        <v>58</v>
      </c>
      <c r="H22" s="11"/>
      <c r="I22" s="13" t="s">
        <v>111</v>
      </c>
      <c r="J22" s="11" t="s">
        <v>112</v>
      </c>
      <c r="K22" s="11" t="s">
        <v>113</v>
      </c>
      <c r="L22" s="11"/>
      <c r="M22" s="11"/>
      <c r="N22" s="14"/>
      <c r="O22" s="14"/>
    </row>
    <row r="23" ht="15.0" customHeight="1">
      <c r="A23" s="7">
        <v>15.0</v>
      </c>
      <c r="B23" s="8">
        <v>0.43194444444444446</v>
      </c>
      <c r="C23" s="9"/>
      <c r="D23" s="39" t="s">
        <v>114</v>
      </c>
      <c r="E23" s="40" t="s">
        <v>56</v>
      </c>
      <c r="F23" s="41" t="s">
        <v>115</v>
      </c>
      <c r="G23" s="11" t="s">
        <v>27</v>
      </c>
      <c r="H23" s="22" t="s">
        <v>116</v>
      </c>
      <c r="I23" s="11"/>
      <c r="J23" s="11" t="s">
        <v>117</v>
      </c>
      <c r="K23" s="11"/>
      <c r="L23" s="11"/>
      <c r="M23" s="11"/>
      <c r="N23" s="14"/>
      <c r="O23" s="14"/>
    </row>
    <row r="24" ht="15.0" customHeight="1">
      <c r="A24" s="11">
        <v>16.0</v>
      </c>
      <c r="B24" s="8">
        <v>0.4340277777777778</v>
      </c>
      <c r="C24" s="9"/>
      <c r="D24" s="11" t="s">
        <v>118</v>
      </c>
      <c r="E24" s="10" t="s">
        <v>25</v>
      </c>
      <c r="F24" s="11" t="s">
        <v>119</v>
      </c>
      <c r="G24" s="11" t="s">
        <v>27</v>
      </c>
      <c r="H24" s="22" t="s">
        <v>120</v>
      </c>
      <c r="I24" s="22" t="s">
        <v>121</v>
      </c>
      <c r="J24" s="11" t="s">
        <v>122</v>
      </c>
      <c r="K24" s="11" t="s">
        <v>123</v>
      </c>
      <c r="L24" s="11" t="s">
        <v>124</v>
      </c>
      <c r="M24" s="11"/>
      <c r="N24" s="14"/>
      <c r="O24" s="14"/>
    </row>
    <row r="25" ht="15.0" customHeight="1">
      <c r="A25" s="11">
        <v>17.0</v>
      </c>
      <c r="B25" s="8">
        <v>0.4361111111111111</v>
      </c>
      <c r="C25" s="9"/>
      <c r="D25" s="11" t="s">
        <v>125</v>
      </c>
      <c r="E25" s="10"/>
      <c r="F25" s="11" t="s">
        <v>126</v>
      </c>
      <c r="G25" s="11" t="s">
        <v>27</v>
      </c>
      <c r="H25" s="11"/>
      <c r="I25" s="18" t="s">
        <v>127</v>
      </c>
      <c r="J25" s="11"/>
      <c r="K25" s="11"/>
      <c r="L25" s="11"/>
      <c r="M25" s="11"/>
      <c r="N25" s="14"/>
      <c r="O25" s="14"/>
    </row>
    <row r="26" ht="15.0" customHeight="1">
      <c r="A26" s="11">
        <v>18.0</v>
      </c>
      <c r="B26" s="8">
        <v>0.43819444444444444</v>
      </c>
      <c r="C26" s="9"/>
      <c r="D26" s="11" t="s">
        <v>128</v>
      </c>
      <c r="E26" s="10" t="s">
        <v>56</v>
      </c>
      <c r="F26" s="11" t="s">
        <v>129</v>
      </c>
      <c r="G26" s="11" t="s">
        <v>27</v>
      </c>
      <c r="H26" s="22" t="s">
        <v>130</v>
      </c>
      <c r="I26" s="11"/>
      <c r="J26" s="11" t="s">
        <v>131</v>
      </c>
      <c r="K26" s="11" t="s">
        <v>132</v>
      </c>
      <c r="L26" s="11" t="s">
        <v>133</v>
      </c>
      <c r="M26" s="11"/>
      <c r="N26" s="14"/>
      <c r="O26" s="14"/>
    </row>
    <row r="27" ht="15.0" customHeight="1">
      <c r="A27" s="11">
        <v>19.0</v>
      </c>
      <c r="B27" s="8">
        <v>0.44027777777777777</v>
      </c>
      <c r="C27" s="9"/>
      <c r="D27" s="11" t="s">
        <v>134</v>
      </c>
      <c r="E27" s="10"/>
      <c r="F27" s="11" t="s">
        <v>135</v>
      </c>
      <c r="G27" s="11" t="s">
        <v>27</v>
      </c>
      <c r="H27" s="18" t="s">
        <v>136</v>
      </c>
      <c r="I27" s="18" t="s">
        <v>137</v>
      </c>
      <c r="J27" s="11" t="s">
        <v>138</v>
      </c>
      <c r="K27" s="11" t="s">
        <v>139</v>
      </c>
      <c r="L27" s="11" t="s">
        <v>140</v>
      </c>
      <c r="M27" s="11"/>
      <c r="N27" s="14"/>
      <c r="O27" s="18" t="s">
        <v>141</v>
      </c>
    </row>
    <row r="28" ht="15.0" customHeight="1">
      <c r="A28" s="11">
        <v>20.0</v>
      </c>
      <c r="B28" s="8">
        <v>0.4423611111111111</v>
      </c>
      <c r="C28" s="9"/>
      <c r="D28" s="11" t="s">
        <v>142</v>
      </c>
      <c r="E28" s="10" t="s">
        <v>56</v>
      </c>
      <c r="F28" s="11" t="s">
        <v>143</v>
      </c>
      <c r="G28" s="11"/>
      <c r="H28" s="18" t="s">
        <v>144</v>
      </c>
      <c r="I28" s="18" t="s">
        <v>145</v>
      </c>
      <c r="J28" s="11"/>
      <c r="K28" s="11"/>
      <c r="L28" s="11"/>
      <c r="M28" s="11"/>
      <c r="N28" s="14"/>
      <c r="O28" s="14"/>
    </row>
    <row r="29" ht="15.0" customHeight="1">
      <c r="A29" s="42"/>
      <c r="B29" s="43"/>
      <c r="C29" s="44"/>
      <c r="D29" s="45" t="s">
        <v>146</v>
      </c>
      <c r="E29" s="44"/>
      <c r="F29" s="42"/>
      <c r="G29" s="42"/>
      <c r="H29" s="42"/>
      <c r="I29" s="42"/>
      <c r="J29" s="42"/>
      <c r="K29" s="42"/>
      <c r="L29" s="42"/>
      <c r="M29" s="42"/>
      <c r="N29" s="46"/>
      <c r="O29" s="46"/>
    </row>
    <row r="30" ht="15.0" customHeight="1">
      <c r="A30" s="15" t="s">
        <v>147</v>
      </c>
    </row>
    <row r="31" ht="15.0" customHeight="1">
      <c r="A31" s="4" t="s">
        <v>148</v>
      </c>
      <c r="B31" s="4" t="s">
        <v>149</v>
      </c>
      <c r="C31" s="3" t="s">
        <v>1</v>
      </c>
      <c r="D31" s="4" t="s">
        <v>2</v>
      </c>
      <c r="E31" s="6" t="s">
        <v>150</v>
      </c>
      <c r="F31" s="4" t="s">
        <v>4</v>
      </c>
      <c r="G31" s="47"/>
      <c r="H31" s="4"/>
      <c r="I31" s="4" t="s">
        <v>151</v>
      </c>
      <c r="J31" s="4" t="s">
        <v>152</v>
      </c>
      <c r="K31" s="4" t="s">
        <v>153</v>
      </c>
      <c r="L31" s="3" t="s">
        <v>10</v>
      </c>
      <c r="M31" s="47"/>
      <c r="N31" s="47"/>
      <c r="O31" s="47"/>
    </row>
    <row r="32" ht="15.0" customHeight="1">
      <c r="A32" s="48">
        <v>1.0</v>
      </c>
      <c r="B32" s="8">
        <v>0.6041666666666666</v>
      </c>
      <c r="C32" s="9"/>
      <c r="D32" s="11" t="s">
        <v>154</v>
      </c>
      <c r="E32" s="10"/>
      <c r="F32" s="49" t="s">
        <v>155</v>
      </c>
      <c r="G32" s="11"/>
      <c r="H32" s="22" t="s">
        <v>156</v>
      </c>
      <c r="I32" s="22" t="s">
        <v>157</v>
      </c>
      <c r="J32" s="50" t="s">
        <v>158</v>
      </c>
      <c r="K32" s="11"/>
      <c r="L32" s="11"/>
      <c r="M32" s="49"/>
      <c r="N32" s="51"/>
      <c r="O32" s="51"/>
    </row>
    <row r="33" ht="15.0" customHeight="1">
      <c r="A33" s="48">
        <v>2.0</v>
      </c>
      <c r="B33" s="8">
        <v>0.6111111111111112</v>
      </c>
      <c r="C33" s="9"/>
      <c r="D33" s="49" t="s">
        <v>159</v>
      </c>
      <c r="E33" s="10" t="s">
        <v>56</v>
      </c>
      <c r="F33" s="49" t="s">
        <v>160</v>
      </c>
      <c r="G33" s="11"/>
      <c r="H33" s="49"/>
      <c r="I33" s="22" t="s">
        <v>161</v>
      </c>
      <c r="J33" s="49" t="s">
        <v>162</v>
      </c>
      <c r="K33" s="11"/>
      <c r="L33" s="11" t="s">
        <v>163</v>
      </c>
      <c r="M33" s="49"/>
      <c r="N33" s="51"/>
      <c r="O33" s="49"/>
    </row>
    <row r="34" ht="15.0" customHeight="1">
      <c r="A34" s="48">
        <v>3.0</v>
      </c>
      <c r="B34" s="8">
        <v>0.6180555555555556</v>
      </c>
      <c r="C34" s="9"/>
      <c r="D34" s="11" t="s">
        <v>164</v>
      </c>
      <c r="E34" s="10" t="s">
        <v>56</v>
      </c>
      <c r="F34" s="11" t="s">
        <v>165</v>
      </c>
      <c r="G34" s="11"/>
      <c r="H34" s="52"/>
      <c r="I34" s="53" t="s">
        <v>166</v>
      </c>
      <c r="J34" s="12"/>
      <c r="K34" s="12"/>
      <c r="L34" s="12"/>
      <c r="M34" s="12"/>
      <c r="O34" s="54"/>
    </row>
    <row r="35" ht="15.0" customHeight="1">
      <c r="A35" s="11">
        <v>4.0</v>
      </c>
      <c r="B35" s="55">
        <v>0.625</v>
      </c>
      <c r="C35" s="56"/>
      <c r="D35" s="57" t="s">
        <v>167</v>
      </c>
      <c r="E35" s="10" t="s">
        <v>25</v>
      </c>
      <c r="F35" s="11" t="s">
        <v>168</v>
      </c>
      <c r="G35" s="58"/>
      <c r="H35" s="14"/>
      <c r="I35" s="18" t="s">
        <v>169</v>
      </c>
      <c r="J35" s="11"/>
      <c r="K35" s="14"/>
      <c r="L35" s="11" t="s">
        <v>170</v>
      </c>
      <c r="M35" s="11"/>
      <c r="N35" s="14"/>
      <c r="O35" s="14"/>
    </row>
    <row r="36" ht="15.0" customHeight="1">
      <c r="A36" s="59"/>
      <c r="B36" s="60" t="s">
        <v>171</v>
      </c>
      <c r="C36" s="61"/>
      <c r="D36" s="62" t="s">
        <v>146</v>
      </c>
      <c r="E36" s="61"/>
      <c r="F36" s="63"/>
      <c r="G36" s="59"/>
      <c r="H36" s="59"/>
      <c r="I36" s="59"/>
      <c r="J36" s="59"/>
      <c r="K36" s="59"/>
      <c r="L36" s="59"/>
      <c r="M36" s="63"/>
      <c r="N36" s="59"/>
      <c r="O36" s="59"/>
    </row>
    <row r="37" ht="15.0" customHeight="1">
      <c r="A37" s="59"/>
      <c r="B37" s="64"/>
      <c r="C37" s="61"/>
      <c r="D37" s="65"/>
      <c r="E37" s="61"/>
      <c r="F37" s="59"/>
      <c r="G37" s="59"/>
      <c r="H37" s="59"/>
      <c r="I37" s="59"/>
      <c r="J37" s="59"/>
      <c r="K37" s="59"/>
      <c r="L37" s="59"/>
      <c r="M37" s="59"/>
      <c r="N37" s="59"/>
      <c r="O37" s="59"/>
    </row>
    <row r="38" ht="15.0" customHeight="1">
      <c r="A38" s="14"/>
      <c r="B38" s="56"/>
      <c r="C38" s="56"/>
      <c r="D38" s="14"/>
      <c r="E38" s="66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ht="15.0" customHeight="1">
      <c r="A39" s="14"/>
      <c r="B39" s="56"/>
      <c r="C39" s="56"/>
      <c r="E39" s="66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ht="15.0" customHeight="1">
      <c r="A40" s="14"/>
      <c r="B40" s="56"/>
      <c r="C40" s="56"/>
      <c r="D40" s="14"/>
      <c r="E40" s="66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ht="15.0" customHeight="1">
      <c r="A41" s="14"/>
      <c r="B41" s="56"/>
      <c r="C41" s="56"/>
      <c r="D41" s="14"/>
      <c r="E41" s="66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ht="15.0" customHeight="1">
      <c r="A42" s="15" t="s">
        <v>172</v>
      </c>
    </row>
    <row r="43" ht="15.0" customHeight="1">
      <c r="A43" s="67">
        <v>1.0</v>
      </c>
      <c r="B43" s="68">
        <v>0.7083333333333334</v>
      </c>
      <c r="C43" s="9"/>
      <c r="D43" s="11" t="s">
        <v>128</v>
      </c>
      <c r="E43" s="10" t="s">
        <v>25</v>
      </c>
      <c r="F43" s="12" t="s">
        <v>173</v>
      </c>
      <c r="G43" s="12"/>
      <c r="H43" s="22" t="s">
        <v>174</v>
      </c>
      <c r="I43" s="52"/>
      <c r="J43" s="11"/>
      <c r="K43" s="11"/>
      <c r="L43" s="11"/>
      <c r="M43" s="11"/>
      <c r="N43" s="11"/>
      <c r="O43" s="11"/>
    </row>
    <row r="44" ht="15.0" customHeight="1">
      <c r="A44" s="67">
        <v>2.0</v>
      </c>
      <c r="B44" s="69" t="s">
        <v>175</v>
      </c>
      <c r="C44" s="9"/>
      <c r="D44" s="11" t="s">
        <v>176</v>
      </c>
      <c r="E44" s="10"/>
      <c r="F44" s="11" t="s">
        <v>177</v>
      </c>
      <c r="G44" s="11"/>
      <c r="H44" s="18" t="s">
        <v>178</v>
      </c>
      <c r="I44" s="70"/>
      <c r="J44" s="11"/>
      <c r="K44" s="11"/>
      <c r="L44" s="11"/>
      <c r="M44" s="11"/>
      <c r="N44" s="14"/>
      <c r="O44" s="11"/>
    </row>
    <row r="45" ht="15.0" customHeight="1">
      <c r="A45" s="67">
        <v>3.0</v>
      </c>
      <c r="B45" s="69" t="s">
        <v>179</v>
      </c>
      <c r="C45" s="9"/>
      <c r="D45" s="12" t="s">
        <v>180</v>
      </c>
      <c r="E45" s="10"/>
      <c r="F45" s="12" t="s">
        <v>181</v>
      </c>
      <c r="G45" s="11"/>
      <c r="H45" s="22" t="s">
        <v>182</v>
      </c>
      <c r="I45" s="71"/>
      <c r="J45" s="11"/>
      <c r="K45" s="11"/>
      <c r="L45" s="11"/>
      <c r="M45" s="11"/>
      <c r="N45" s="14"/>
      <c r="O45" s="14"/>
    </row>
    <row r="46" ht="15.0" customHeight="1">
      <c r="A46" s="67">
        <v>4.0</v>
      </c>
      <c r="B46" s="69" t="s">
        <v>183</v>
      </c>
      <c r="C46" s="9"/>
      <c r="D46" s="12" t="s">
        <v>184</v>
      </c>
      <c r="E46" s="10"/>
      <c r="F46" s="72" t="s">
        <v>96</v>
      </c>
      <c r="H46" s="22" t="s">
        <v>185</v>
      </c>
      <c r="I46" s="12"/>
      <c r="J46" s="11"/>
      <c r="K46" s="11"/>
      <c r="L46" s="11"/>
      <c r="M46" s="11"/>
      <c r="N46" s="11"/>
      <c r="O46" s="11"/>
    </row>
    <row r="47" ht="15.0" customHeight="1">
      <c r="A47" s="67">
        <v>5.0</v>
      </c>
      <c r="B47" s="69" t="s">
        <v>186</v>
      </c>
      <c r="C47" s="9"/>
      <c r="D47" s="11" t="s">
        <v>81</v>
      </c>
      <c r="E47" s="10" t="s">
        <v>56</v>
      </c>
      <c r="F47" s="11" t="s">
        <v>82</v>
      </c>
      <c r="G47" s="11"/>
      <c r="H47" s="18" t="s">
        <v>187</v>
      </c>
      <c r="I47" s="11"/>
      <c r="J47" s="11"/>
      <c r="K47" s="14"/>
      <c r="L47" s="14"/>
      <c r="M47" s="11"/>
      <c r="N47" s="11"/>
      <c r="O47" s="11"/>
    </row>
    <row r="48" ht="15.0" customHeight="1">
      <c r="A48" s="67">
        <v>6.0</v>
      </c>
      <c r="B48" s="69" t="s">
        <v>188</v>
      </c>
      <c r="C48" s="9"/>
      <c r="D48" s="12" t="s">
        <v>189</v>
      </c>
      <c r="E48" s="10" t="s">
        <v>56</v>
      </c>
      <c r="F48" s="12" t="s">
        <v>190</v>
      </c>
      <c r="G48" s="12"/>
      <c r="H48" s="22" t="s">
        <v>191</v>
      </c>
      <c r="I48" s="12"/>
      <c r="J48" s="12"/>
      <c r="K48" s="12"/>
      <c r="L48" s="12"/>
      <c r="M48" s="11"/>
      <c r="N48" s="18" t="s">
        <v>192</v>
      </c>
      <c r="O48" s="18" t="s">
        <v>191</v>
      </c>
    </row>
    <row r="49" ht="15.0" customHeight="1">
      <c r="A49" s="67">
        <v>7.0</v>
      </c>
      <c r="B49" s="69" t="s">
        <v>193</v>
      </c>
      <c r="C49" s="9"/>
      <c r="D49" s="11" t="s">
        <v>114</v>
      </c>
      <c r="E49" s="10" t="s">
        <v>56</v>
      </c>
      <c r="F49" s="11" t="s">
        <v>194</v>
      </c>
      <c r="G49" s="11"/>
      <c r="H49" s="22" t="s">
        <v>195</v>
      </c>
      <c r="I49" s="11"/>
      <c r="J49" s="35"/>
      <c r="K49" s="35"/>
      <c r="L49" s="35"/>
      <c r="M49" s="11"/>
      <c r="N49" s="14"/>
      <c r="O49" s="14"/>
    </row>
    <row r="50" ht="15.0" customHeight="1">
      <c r="A50" s="67">
        <v>8.0</v>
      </c>
      <c r="B50" s="69" t="s">
        <v>196</v>
      </c>
      <c r="C50" s="9"/>
      <c r="D50" s="12" t="s">
        <v>197</v>
      </c>
      <c r="E50" s="10" t="s">
        <v>56</v>
      </c>
      <c r="F50" s="11" t="s">
        <v>198</v>
      </c>
      <c r="G50" s="11"/>
      <c r="H50" s="18" t="s">
        <v>199</v>
      </c>
      <c r="I50" s="18" t="s">
        <v>200</v>
      </c>
      <c r="J50" s="11"/>
      <c r="K50" s="11"/>
      <c r="L50" s="11"/>
      <c r="M50" s="11"/>
      <c r="N50" s="14"/>
      <c r="O50" s="14"/>
    </row>
    <row r="51" ht="15.0" customHeight="1">
      <c r="A51" s="67">
        <v>9.0</v>
      </c>
      <c r="B51" s="69" t="s">
        <v>201</v>
      </c>
      <c r="C51" s="9"/>
      <c r="D51" s="11" t="s">
        <v>43</v>
      </c>
      <c r="E51" s="10" t="s">
        <v>56</v>
      </c>
      <c r="F51" s="11" t="s">
        <v>202</v>
      </c>
      <c r="G51" s="11"/>
      <c r="H51" s="22" t="s">
        <v>203</v>
      </c>
      <c r="I51" s="22" t="s">
        <v>204</v>
      </c>
      <c r="J51" s="24"/>
      <c r="K51" s="11"/>
      <c r="L51" s="11"/>
      <c r="M51" s="11"/>
      <c r="N51" s="14"/>
      <c r="O51" s="11"/>
    </row>
    <row r="52" ht="15.0" customHeight="1">
      <c r="A52" s="67">
        <v>10.0</v>
      </c>
      <c r="B52" s="69" t="s">
        <v>205</v>
      </c>
      <c r="C52" s="9"/>
      <c r="D52" s="11" t="s">
        <v>118</v>
      </c>
      <c r="E52" s="10" t="s">
        <v>56</v>
      </c>
      <c r="F52" s="11" t="s">
        <v>206</v>
      </c>
      <c r="G52" s="11"/>
      <c r="H52" s="12"/>
      <c r="I52" s="73" t="s">
        <v>207</v>
      </c>
      <c r="J52" s="14"/>
      <c r="K52" s="14"/>
      <c r="L52" s="14"/>
      <c r="M52" s="14"/>
      <c r="N52" s="14"/>
      <c r="O52" s="14"/>
    </row>
    <row r="53" ht="15.0" customHeight="1">
      <c r="A53" s="67">
        <v>11.0</v>
      </c>
      <c r="B53" s="69" t="s">
        <v>208</v>
      </c>
      <c r="C53" s="9"/>
      <c r="D53" s="26" t="s">
        <v>209</v>
      </c>
      <c r="E53" s="27" t="s">
        <v>56</v>
      </c>
      <c r="F53" s="28" t="s">
        <v>72</v>
      </c>
      <c r="G53" s="28" t="s">
        <v>73</v>
      </c>
      <c r="H53" s="29" t="s">
        <v>74</v>
      </c>
      <c r="I53" s="30" t="s">
        <v>75</v>
      </c>
      <c r="J53" s="28" t="s">
        <v>76</v>
      </c>
      <c r="K53" s="28" t="s">
        <v>77</v>
      </c>
      <c r="L53" s="31" t="s">
        <v>78</v>
      </c>
      <c r="M53" s="28" t="s">
        <v>79</v>
      </c>
      <c r="N53" s="32"/>
      <c r="O53" s="33" t="s">
        <v>80</v>
      </c>
    </row>
    <row r="54" ht="15.0" customHeight="1">
      <c r="A54" s="67">
        <v>12.0</v>
      </c>
      <c r="B54" s="69" t="s">
        <v>210</v>
      </c>
      <c r="C54" s="9"/>
      <c r="D54" s="11" t="s">
        <v>55</v>
      </c>
      <c r="E54" s="10" t="s">
        <v>56</v>
      </c>
      <c r="F54" s="7" t="s">
        <v>211</v>
      </c>
      <c r="G54" s="12"/>
      <c r="H54" s="74" t="s">
        <v>212</v>
      </c>
      <c r="I54" s="75" t="s">
        <v>213</v>
      </c>
      <c r="J54" s="11" t="s">
        <v>214</v>
      </c>
      <c r="K54" s="11"/>
      <c r="L54" s="11" t="s">
        <v>62</v>
      </c>
      <c r="M54" s="11"/>
      <c r="N54" s="11"/>
      <c r="O54" s="18" t="s">
        <v>215</v>
      </c>
    </row>
    <row r="55" ht="15.0" customHeight="1">
      <c r="A55" s="67">
        <v>13.0</v>
      </c>
      <c r="B55" s="69" t="s">
        <v>216</v>
      </c>
      <c r="C55" s="56"/>
      <c r="D55" s="11"/>
      <c r="E55" s="10"/>
      <c r="F55" s="11"/>
      <c r="G55" s="76"/>
      <c r="H55" s="12"/>
      <c r="I55" s="11"/>
      <c r="J55" s="11"/>
      <c r="K55" s="11"/>
      <c r="L55" s="11"/>
      <c r="M55" s="11"/>
      <c r="N55" s="14"/>
      <c r="O55" s="14"/>
    </row>
    <row r="56" ht="15.0" customHeight="1">
      <c r="A56" s="77"/>
      <c r="B56" s="78"/>
      <c r="C56" s="78"/>
      <c r="D56" s="79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ht="15.0" customHeight="1">
      <c r="A57" s="77"/>
      <c r="B57" s="78"/>
      <c r="C57" s="78"/>
      <c r="D57" s="79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</row>
  </sheetData>
  <mergeCells count="5">
    <mergeCell ref="A1:K1"/>
    <mergeCell ref="A7:O7"/>
    <mergeCell ref="A8:K8"/>
    <mergeCell ref="A30:O30"/>
    <mergeCell ref="A42:O42"/>
  </mergeCells>
  <hyperlinks>
    <hyperlink r:id="rId1" ref="I3"/>
    <hyperlink r:id="rId2" ref="I4"/>
    <hyperlink r:id="rId3" location="slide=id.p" ref="I5"/>
    <hyperlink r:id="rId4" ref="I6"/>
    <hyperlink r:id="rId5" ref="I9"/>
    <hyperlink r:id="rId6" ref="O9"/>
    <hyperlink r:id="rId7" ref="H10"/>
    <hyperlink r:id="rId8" ref="I10"/>
    <hyperlink r:id="rId9" location="slide=id.g525b4b4383_0_10" ref="O10"/>
    <hyperlink r:id="rId10" location="slide=id.p1" ref="I11"/>
    <hyperlink r:id="rId11" ref="H12"/>
    <hyperlink r:id="rId12" ref="I12"/>
    <hyperlink r:id="rId13" ref="H13"/>
    <hyperlink r:id="rId14" ref="I13"/>
    <hyperlink r:id="rId15" ref="J13"/>
    <hyperlink r:id="rId16" ref="H14"/>
    <hyperlink r:id="rId17" ref="I14"/>
    <hyperlink r:id="rId18" ref="O14"/>
    <hyperlink r:id="rId19" ref="I16"/>
    <hyperlink r:id="rId20" ref="H17"/>
    <hyperlink r:id="rId21" ref="I17"/>
    <hyperlink r:id="rId22" location="slide=id.p" ref="O17"/>
    <hyperlink r:id="rId23" ref="O18"/>
    <hyperlink r:id="rId24" ref="H19"/>
    <hyperlink r:id="rId25" ref="I19"/>
    <hyperlink r:id="rId26" ref="H20"/>
    <hyperlink r:id="rId27" ref="O20"/>
    <hyperlink r:id="rId28" ref="H21"/>
    <hyperlink r:id="rId29" ref="I21"/>
    <hyperlink r:id="rId30" ref="O21"/>
    <hyperlink r:id="rId31" ref="I22"/>
    <hyperlink r:id="rId32" ref="H23"/>
    <hyperlink r:id="rId33" ref="H24"/>
    <hyperlink r:id="rId34" ref="I24"/>
    <hyperlink r:id="rId35" ref="I25"/>
    <hyperlink r:id="rId36" ref="H26"/>
    <hyperlink r:id="rId37" ref="H27"/>
    <hyperlink r:id="rId38" ref="I27"/>
    <hyperlink r:id="rId39" ref="O27"/>
    <hyperlink r:id="rId40" ref="H28"/>
    <hyperlink r:id="rId41" ref="I28"/>
    <hyperlink r:id="rId42" ref="H32"/>
    <hyperlink r:id="rId43" ref="I32"/>
    <hyperlink r:id="rId44" ref="J32"/>
    <hyperlink r:id="rId45" ref="I33"/>
    <hyperlink r:id="rId46" location="slide=id.g59cc099f14_0_250" ref="I34"/>
    <hyperlink r:id="rId47" ref="I35"/>
    <hyperlink r:id="rId48" ref="H43"/>
    <hyperlink r:id="rId49" ref="H44"/>
    <hyperlink r:id="rId50" ref="H45"/>
    <hyperlink r:id="rId51" ref="H46"/>
    <hyperlink r:id="rId52" ref="H47"/>
    <hyperlink r:id="rId53" ref="H48"/>
    <hyperlink r:id="rId54" ref="N48"/>
    <hyperlink r:id="rId55" ref="O48"/>
    <hyperlink r:id="rId56" ref="H49"/>
    <hyperlink r:id="rId57" ref="H50"/>
    <hyperlink r:id="rId58" ref="I50"/>
    <hyperlink r:id="rId59" ref="H51"/>
    <hyperlink r:id="rId60" ref="I51"/>
    <hyperlink r:id="rId61" ref="H53"/>
    <hyperlink r:id="rId62" ref="I53"/>
    <hyperlink r:id="rId63" location="slide=id.p" ref="O53"/>
    <hyperlink r:id="rId64" ref="H54"/>
    <hyperlink r:id="rId65" ref="I54"/>
    <hyperlink r:id="rId66" location="slide=id.g5a959fe18f_0_0" ref="O54"/>
  </hyperlinks>
  <drawing r:id="rId6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8.38"/>
    <col customWidth="1" min="8" max="8" width="8.25"/>
    <col customWidth="1" min="9" max="10" width="9.75"/>
    <col customWidth="1" min="11" max="11" width="9.38"/>
    <col customWidth="1" min="12" max="24" width="9.75"/>
  </cols>
  <sheetData>
    <row r="1" ht="10.5" customHeight="1">
      <c r="B1" s="80" t="s">
        <v>217</v>
      </c>
    </row>
    <row r="2" ht="39.0" customHeight="1">
      <c r="A2" s="56"/>
      <c r="B2" s="81" t="s">
        <v>218</v>
      </c>
      <c r="C2" s="82"/>
      <c r="D2" s="82"/>
      <c r="E2" s="82"/>
      <c r="F2" s="82"/>
      <c r="G2" s="83"/>
      <c r="H2" s="56"/>
      <c r="I2" s="56"/>
      <c r="J2" s="56"/>
      <c r="K2" s="56"/>
      <c r="L2" s="56"/>
    </row>
    <row r="3" ht="39.0" customHeight="1">
      <c r="A3" s="84"/>
      <c r="B3" s="85"/>
      <c r="C3" s="12"/>
      <c r="D3" s="86"/>
      <c r="E3" s="87"/>
      <c r="F3" s="87"/>
      <c r="G3" s="88" t="s">
        <v>219</v>
      </c>
      <c r="H3" s="89"/>
      <c r="I3" s="89"/>
      <c r="J3" s="89"/>
      <c r="K3" s="89"/>
      <c r="L3" s="90"/>
    </row>
    <row r="4" ht="39.0" customHeight="1">
      <c r="A4" s="91"/>
      <c r="B4" s="87"/>
      <c r="C4" s="86"/>
      <c r="D4" s="87"/>
      <c r="E4" s="11"/>
      <c r="F4" s="87"/>
      <c r="G4" s="92"/>
      <c r="L4" s="85"/>
    </row>
    <row r="5" ht="39.0" customHeight="1">
      <c r="A5" s="87"/>
      <c r="B5" s="87"/>
      <c r="C5" s="87"/>
      <c r="D5" s="86"/>
      <c r="E5" s="87"/>
      <c r="F5" s="87"/>
      <c r="G5" s="92"/>
      <c r="L5" s="85"/>
    </row>
    <row r="6" ht="39.0" customHeight="1">
      <c r="A6" s="84"/>
      <c r="B6" s="87"/>
      <c r="C6" s="87"/>
      <c r="D6" s="87"/>
      <c r="E6" s="93"/>
      <c r="F6" s="87"/>
      <c r="G6" s="92"/>
      <c r="L6" s="85"/>
    </row>
    <row r="7" ht="39.0" customHeight="1">
      <c r="B7" s="87"/>
      <c r="C7" s="94"/>
      <c r="D7" s="87"/>
      <c r="E7" s="87"/>
      <c r="F7" s="87"/>
      <c r="G7" s="92"/>
      <c r="L7" s="85"/>
    </row>
    <row r="8" ht="39.0" customHeight="1">
      <c r="A8" s="87"/>
      <c r="B8" s="87"/>
      <c r="C8" s="95"/>
      <c r="D8" s="87"/>
      <c r="E8" s="86" t="s">
        <v>220</v>
      </c>
      <c r="F8" s="86" t="s">
        <v>221</v>
      </c>
      <c r="G8" s="92"/>
      <c r="L8" s="85"/>
    </row>
    <row r="9" ht="39.0" customHeight="1">
      <c r="A9" s="87"/>
      <c r="B9" s="87"/>
      <c r="C9" s="87"/>
      <c r="D9" s="87"/>
      <c r="E9" s="23" t="s">
        <v>82</v>
      </c>
      <c r="F9" s="87"/>
      <c r="G9" s="92"/>
      <c r="L9" s="85"/>
    </row>
    <row r="10" ht="39.0" customHeight="1">
      <c r="A10" s="87"/>
      <c r="B10" s="87"/>
      <c r="C10" s="87"/>
      <c r="D10" s="86"/>
      <c r="E10" s="87"/>
      <c r="F10" s="87"/>
      <c r="G10" s="92"/>
      <c r="L10" s="85"/>
      <c r="M10" s="56"/>
      <c r="N10" s="56"/>
      <c r="O10" s="56"/>
      <c r="P10" s="56"/>
    </row>
    <row r="11" ht="39.0" customHeight="1">
      <c r="A11" s="87"/>
      <c r="B11" s="87"/>
      <c r="C11" s="86"/>
      <c r="D11" s="86"/>
      <c r="E11" s="87"/>
      <c r="F11" s="86"/>
      <c r="G11" s="96"/>
      <c r="H11" s="82"/>
      <c r="I11" s="82"/>
      <c r="J11" s="82"/>
      <c r="K11" s="82"/>
      <c r="L11" s="97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ht="39.0" customHeight="1">
      <c r="A12" s="87"/>
      <c r="B12" s="87"/>
      <c r="C12" s="87"/>
      <c r="D12" s="86"/>
      <c r="E12" s="87"/>
      <c r="F12" s="87"/>
      <c r="G12" s="86"/>
      <c r="H12" s="87"/>
      <c r="I12" s="86"/>
      <c r="J12" s="87"/>
      <c r="K12" s="87"/>
      <c r="L12" s="8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ht="39.0" customHeight="1">
      <c r="A13" s="91" t="s">
        <v>222</v>
      </c>
      <c r="B13" s="98"/>
      <c r="C13" s="99"/>
      <c r="D13" s="99"/>
      <c r="E13" s="99"/>
      <c r="F13" s="100"/>
      <c r="G13" s="87"/>
      <c r="H13" s="87"/>
      <c r="I13" s="87"/>
      <c r="J13" s="87"/>
      <c r="K13" s="87"/>
      <c r="L13" s="87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ht="39.0" customHeight="1">
      <c r="A14" s="56"/>
      <c r="B14" s="56"/>
      <c r="C14" s="56"/>
      <c r="D14" s="56"/>
      <c r="E14" s="56"/>
      <c r="F14" s="56"/>
      <c r="G14" s="87"/>
      <c r="H14" s="87"/>
      <c r="I14" s="86"/>
      <c r="J14" s="87"/>
      <c r="K14" s="87"/>
      <c r="L14" s="8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ht="39.0" customHeight="1">
      <c r="A15" s="56"/>
      <c r="B15" s="56"/>
      <c r="C15" s="56"/>
      <c r="D15" s="56"/>
      <c r="E15" s="56"/>
      <c r="F15" s="56"/>
      <c r="G15" s="87"/>
      <c r="H15" s="86"/>
      <c r="I15" s="86" t="s">
        <v>223</v>
      </c>
      <c r="J15" s="22" t="s">
        <v>54</v>
      </c>
      <c r="K15" s="86"/>
      <c r="L15" s="8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</row>
    <row r="16" ht="39.0" customHeight="1">
      <c r="A16" s="56"/>
      <c r="B16" s="56"/>
      <c r="C16" s="56"/>
      <c r="D16" s="56"/>
      <c r="E16" s="56"/>
      <c r="F16" s="56"/>
      <c r="G16" s="87"/>
      <c r="H16" s="87"/>
      <c r="I16" s="86"/>
      <c r="J16" s="87"/>
      <c r="K16" s="87"/>
      <c r="L16" s="8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</row>
    <row r="17" ht="39.0" customHeight="1">
      <c r="A17" s="56"/>
      <c r="B17" s="56"/>
      <c r="C17" s="56"/>
      <c r="D17" s="56"/>
      <c r="E17" s="56"/>
      <c r="F17" s="56"/>
      <c r="G17" s="87"/>
      <c r="H17" s="87"/>
      <c r="I17" s="87"/>
      <c r="J17" s="87"/>
      <c r="K17" s="87"/>
      <c r="L17" s="87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</row>
    <row r="18" ht="39.0" customHeight="1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</row>
    <row r="19" ht="39.0" customHeight="1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</row>
    <row r="20" ht="39.0" customHeight="1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</row>
    <row r="21" ht="39.0" customHeight="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</row>
    <row r="22" ht="39.0" customHeight="1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</row>
    <row r="23" ht="39.0" customHeight="1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</row>
    <row r="24" ht="39.0" customHeight="1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</row>
    <row r="25" ht="39.0" customHeight="1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</row>
    <row r="26" ht="39.0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</row>
    <row r="27" ht="39.0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</row>
    <row r="28" ht="39.0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</row>
    <row r="29" ht="39.0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</row>
    <row r="30" ht="39.0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</row>
    <row r="31" ht="39.0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</row>
    <row r="32" ht="39.0" customHeight="1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</row>
    <row r="33" ht="39.0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</row>
    <row r="34" ht="39.0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</row>
    <row r="35" ht="39.0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</row>
    <row r="36" ht="39.0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</row>
    <row r="37" ht="39.0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</row>
    <row r="38" ht="39.0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</row>
    <row r="39" ht="39.0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</row>
    <row r="40" ht="39.0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</row>
    <row r="41" ht="39.0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</row>
    <row r="42" ht="39.0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</row>
    <row r="43" ht="39.0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</row>
    <row r="44" ht="39.0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</row>
    <row r="45" ht="39.0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</row>
    <row r="46" ht="39.0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</row>
    <row r="47" ht="39.0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</row>
    <row r="48" ht="39.0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</row>
    <row r="49" ht="39.0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</row>
    <row r="50" ht="39.0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</row>
    <row r="51" ht="39.0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</row>
    <row r="52" ht="39.0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</row>
    <row r="53" ht="39.0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</row>
    <row r="54" ht="39.0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</row>
    <row r="55" ht="39.0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</row>
    <row r="56" ht="39.0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</row>
    <row r="57" ht="39.0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</row>
    <row r="58" ht="39.0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</row>
    <row r="59" ht="39.0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</row>
    <row r="60" ht="39.0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</row>
    <row r="61" ht="39.0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</row>
    <row r="62" ht="39.0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</row>
    <row r="63" ht="39.0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</row>
    <row r="64" ht="39.0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</row>
    <row r="65" ht="39.0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</row>
    <row r="66" ht="39.0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</row>
    <row r="67" ht="39.0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</row>
    <row r="68" ht="39.0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</row>
    <row r="69" ht="39.0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</row>
    <row r="70" ht="39.0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</row>
    <row r="71" ht="39.0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</row>
    <row r="72" ht="39.0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</row>
    <row r="73" ht="39.0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</row>
    <row r="74" ht="39.0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</row>
    <row r="75" ht="39.0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</row>
    <row r="76" ht="39.0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</row>
    <row r="77" ht="39.0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</row>
    <row r="78" ht="39.0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</row>
    <row r="79" ht="39.0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</row>
    <row r="80" ht="39.0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</row>
    <row r="81" ht="39.0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</row>
    <row r="82" ht="39.0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</row>
    <row r="83" ht="39.0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</row>
    <row r="84" ht="39.0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</row>
    <row r="85" ht="39.0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</row>
    <row r="86" ht="39.0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</row>
    <row r="87" ht="39.0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</row>
    <row r="88" ht="39.0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</row>
    <row r="89" ht="39.0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</row>
    <row r="90" ht="39.0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</row>
    <row r="91" ht="39.0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</row>
    <row r="92" ht="39.0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</row>
    <row r="93" ht="39.0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</row>
    <row r="94" ht="39.0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</row>
    <row r="95" ht="39.0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</row>
    <row r="96" ht="39.0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</row>
    <row r="97" ht="39.0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</row>
    <row r="98" ht="39.0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</row>
    <row r="99" ht="39.0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</row>
    <row r="100" ht="39.0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</row>
    <row r="101" ht="39.0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</row>
  </sheetData>
  <mergeCells count="4">
    <mergeCell ref="B1:F1"/>
    <mergeCell ref="B2:F2"/>
    <mergeCell ref="G3:L11"/>
    <mergeCell ref="B13:F13"/>
  </mergeCells>
  <hyperlinks>
    <hyperlink r:id="rId1" ref="J15"/>
  </hyperlinks>
  <drawing r:id="rId2"/>
</worksheet>
</file>