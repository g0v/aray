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7">
      <text>
        <t xml:space="preserve">時間不及編寫，先用一個產品規劃 hackpad，之後再擴充 &gt;&lt;</t>
      </text>
    </comment>
  </commentList>
</comments>
</file>

<file path=xl/sharedStrings.xml><?xml version="1.0" encoding="utf-8"?>
<sst xmlns="http://schemas.openxmlformats.org/spreadsheetml/2006/main" count="270" uniqueCount="185">
  <si>
    <t>發表時間</t>
  </si>
  <si>
    <t>完成</t>
  </si>
  <si>
    <t>發表者</t>
  </si>
  <si>
    <t>錄影以 CC-BY 釋出？</t>
  </si>
  <si>
    <t>主題</t>
  </si>
  <si>
    <t>專案授權</t>
  </si>
  <si>
    <t>相關連結</t>
  </si>
  <si>
    <t>專案三個關鍵字</t>
  </si>
  <si>
    <t>專案徵人（專長）</t>
  </si>
  <si>
    <t>youtube url: 專案報告</t>
  </si>
  <si>
    <t>youtube url: 成果報告</t>
  </si>
  <si>
    <t>slides url</t>
  </si>
  <si>
    <t>4/18 09:30開場，09:40提案開始【3分鐘提案報名】每個 present 3min，提案、徵人。</t>
  </si>
  <si>
    <t>直播網址</t>
  </si>
  <si>
    <t>v</t>
  </si>
  <si>
    <t>clkao</t>
  </si>
  <si>
    <t>y</t>
  </si>
  <si>
    <t>自己的選區自己畫</t>
  </si>
  <si>
    <t>MIT</t>
  </si>
  <si>
    <t>https://ckitchen.hackpad.com/1XXUB9gMNul</t>
  </si>
  <si>
    <t>憲改、選制、選舉</t>
  </si>
  <si>
    <t>前端、文案、動畫</t>
  </si>
  <si>
    <t>https://www.youtube.com/watch?v=6tTFpZZLXb8&amp;index=2&amp;list=PLdwQWxpS513BhZaBy3VdW2MHQZd3ziulN</t>
  </si>
  <si>
    <t>Ly</t>
  </si>
  <si>
    <t>是</t>
  </si>
  <si>
    <t>立法院 ivod下載網</t>
  </si>
  <si>
    <t>CC BY 4.0</t>
  </si>
  <si>
    <t>https://g0v.hackpad.com/IVOD--bwKQ3P8bGMv</t>
  </si>
  <si>
    <t>立法院, ivod, 下載器</t>
  </si>
  <si>
    <t>UI, 文案,</t>
  </si>
  <si>
    <t>https://www.youtube.com/watch?v=nAj4tnk09L4&amp;index=3&amp;list=PLdwQWxpS513BhZaBy3VdW2MHQZd3ziulN</t>
  </si>
  <si>
    <t>http://www.slideshare.net/yhsiang/ss-47052684</t>
  </si>
  <si>
    <t>isabel</t>
  </si>
  <si>
    <t>ok</t>
  </si>
  <si>
    <t>憲餅互動小鋪</t>
  </si>
  <si>
    <t>CC By 4.0</t>
  </si>
  <si>
    <t>http://bit.ly/1Hi7BAf</t>
  </si>
  <si>
    <t>憲改、互動、前端遊戲</t>
  </si>
  <si>
    <t>前端、設計、內容編輯</t>
  </si>
  <si>
    <t>https://www.youtube.com/watch?v=PqFg8NlqOls&amp;index=4&amp;list=PLdwQWxpS513BhZaBy3VdW2MHQZd3ziulN</t>
  </si>
  <si>
    <t>etblue</t>
  </si>
  <si>
    <t>憲動盟野生官網/野生部落格</t>
  </si>
  <si>
    <t>https://g0v.hackpad.com/-x--ZlxnPcG1xLm#:h=專案報告@2015/4/18-無殼蝸牛黑客松</t>
  </si>
  <si>
    <t>NG0、憲改、憲餅廚房</t>
  </si>
  <si>
    <t>前端、設計、編輯</t>
  </si>
  <si>
    <t>https://www.youtube.com/watch?v=tgn_-A1VFIU&amp;index=5&amp;list=PLdwQWxpS513BhZaBy3VdW2MHQZd3ziulN</t>
  </si>
  <si>
    <t>ipa</t>
  </si>
  <si>
    <t>憲改限時批</t>
  </si>
  <si>
    <t>http://bit.ly/1CWo9at</t>
  </si>
  <si>
    <t>短片、系列懶人包、憲改</t>
  </si>
  <si>
    <t>動畫、前端工程、編輯</t>
  </si>
  <si>
    <t>https://www.youtube.com/watch?v=juzP9pBVYW8&amp;index=6&amp;list=PLdwQWxpS513BhZaBy3VdW2MHQZd3ziulN</t>
  </si>
  <si>
    <t>MrOrz</t>
  </si>
  <si>
    <t>政治承諾追蹤網 PPT</t>
  </si>
  <si>
    <t>https://g0v.hackpad.com/-Political-Promise-Tracker-4a31UkdBItq</t>
  </si>
  <si>
    <t>promise tracker、協作</t>
  </si>
  <si>
    <t>整理地方/中央政府承諾</t>
  </si>
  <si>
    <t>https://www.youtube.com/watch?v=vqfZALpAQVc&amp;index=7&amp;list=PLdwQWxpS513BhZaBy3VdW2MHQZd3ziulN</t>
  </si>
  <si>
    <t>http://goo.gl/m0yTni</t>
  </si>
  <si>
    <t xml:space="preserve">雨蒼
</t>
  </si>
  <si>
    <t>CC0</t>
  </si>
  <si>
    <t>https://g0v.hackpad.com/87CNswL2g7U</t>
  </si>
  <si>
    <t>黨產,國民黨</t>
  </si>
  <si>
    <t>前端、UI、視覺設計</t>
  </si>
  <si>
    <t>https://www.youtube.com/watch?v=0rUJCZMnQeI&amp;index=8&amp;list=PLdwQWxpS513BhZaBy3VdW2MHQZd3ziulN</t>
  </si>
  <si>
    <t>jimmy(huang)</t>
  </si>
  <si>
    <t>賽豬公...上太空！</t>
  </si>
  <si>
    <t>CC by-nc-sa 4.0</t>
  </si>
  <si>
    <t>http://nspo.g0v.tw/</t>
  </si>
  <si>
    <t>GIS、衛星、環境監測</t>
  </si>
  <si>
    <t>前端、Bash、眼睛好的人</t>
  </si>
  <si>
    <t>https://www.youtube.com/watch?v=zFcxJBY4ULs&amp;index=9&amp;list=PLdwQWxpS513BhZaBy3VdW2MHQZd3ziulN</t>
  </si>
  <si>
    <t>Kenny</t>
  </si>
  <si>
    <t>NPO Lab 公益實驗室</t>
  </si>
  <si>
    <t>cc0</t>
  </si>
  <si>
    <t>https://docs.google.com/document/d/1rKRk4ZL8ROpjeS23006tt61a71jJezbwPSIuEY8jOrY/edit?usp=sharing</t>
  </si>
  <si>
    <t>Joy</t>
  </si>
  <si>
    <t>國會調查兵團開放公督盟數據API</t>
  </si>
  <si>
    <t>https://cic.tw/opensource</t>
  </si>
  <si>
    <t>國會調查兵團,cic.tw,公督盟</t>
  </si>
  <si>
    <t>https://www.youtube.com/watch?v=wrN-b-ivxf8&amp;index=10&amp;list=PLdwQWxpS513BhZaBy3VdW2MHQZd3ziulN</t>
  </si>
  <si>
    <t>nchild</t>
  </si>
  <si>
    <t xml:space="preserve"> OK</t>
  </si>
  <si>
    <t>SOAK 泡・議題擴散機</t>
  </si>
  <si>
    <t>議題, app, 共享經濟</t>
  </si>
  <si>
    <t>App、前端、後端開發者，UI / UX，視覺設計</t>
  </si>
  <si>
    <t>https://www.youtube.com/watch?v=YzR0iHp1wYM&amp;index=12&amp;list=PLdwQWxpS513BhZaBy3VdW2MHQZd3ziulN</t>
  </si>
  <si>
    <t>bit.ly/soak-g0v</t>
  </si>
  <si>
    <t>建寰</t>
  </si>
  <si>
    <t>社民黨年金改革政見視覺化</t>
  </si>
  <si>
    <t>https://g0v.hackpad.com/xG0V--FoQcVuzFAOX</t>
  </si>
  <si>
    <t>社民黨、年金改革</t>
  </si>
  <si>
    <t>網站等相關程式</t>
  </si>
  <si>
    <t>https://www.youtube.com/watch?v=OsiFJhyxCm4&amp;index=13&amp;list=PLdwQWxpS513BhZaBy3VdW2MHQZd3ziulN</t>
  </si>
  <si>
    <t>淵智</t>
  </si>
  <si>
    <t>貪污判決查詢網站</t>
  </si>
  <si>
    <t>https://g0v.hackpad.com/--OoaenzjVDKK</t>
  </si>
  <si>
    <t>貪污 判決書 text-mining</t>
  </si>
  <si>
    <t>UI/UX text-mining NLP</t>
  </si>
  <si>
    <t>https://www.youtube.com/watch?v=aXWhfAS16QE&amp;index=14&amp;list=PLdwQWxpS513BhZaBy3VdW2MHQZd3ziulN</t>
  </si>
  <si>
    <t>台北林先生</t>
  </si>
  <si>
    <t>OK</t>
  </si>
  <si>
    <t>第零勢力：闌尾阻黨</t>
  </si>
  <si>
    <t>割闌尾、2016立委選舉</t>
  </si>
  <si>
    <t>https://www.youtube.com/watch?v=I2zJGVW0wy4&amp;index=15&amp;list=PLdwQWxpS513BhZaBy3VdW2MHQZd3ziulN</t>
  </si>
  <si>
    <t>家華</t>
  </si>
  <si>
    <t>2015 WWViews ＠ TW 跨國審議/投票系統專案</t>
  </si>
  <si>
    <t>https://g0v.hackpad.com/2015-WWViews-TW--W6l1GtZ3l1A</t>
  </si>
  <si>
    <t>資料視覺化、審議民主、氣候變遷</t>
  </si>
  <si>
    <t>1) 會議紀錄資料視覺化 + 投票結果資料視覺化；2)  open source 做的單頁式網站</t>
  </si>
  <si>
    <t>https://www.youtube.com/watch?v=gN7GNMllzYE&amp;index=16&amp;list=PLdwQWxpS513BhZaBy3VdW2MHQZd3ziulN</t>
  </si>
  <si>
    <t>三</t>
  </si>
  <si>
    <t>河圖資訊整合UI 提案</t>
  </si>
  <si>
    <t>https://drive.google.com/open?id=0BxfjKRD3dE9nZnAyOVZ0aDJJbFU&amp;authuser=0
https://g0v.hackpad.com/UI-M7krouLdPYq</t>
  </si>
  <si>
    <t>行動指南
資訊整合UI</t>
  </si>
  <si>
    <t>網路工程師、設計師、律師、圖資管理師、企劃宣傳人員、翻譯人員、校錯人員、網站維護人員、資料備份人員</t>
  </si>
  <si>
    <t>https://www.youtube.com/watch?v=Rkq-tj15I78&amp;index=17&amp;list=PLdwQWxpS513BhZaBy3VdW2MHQZd3ziulN</t>
  </si>
  <si>
    <t>http://goo.gl/Uj1sO6</t>
  </si>
  <si>
    <t>==== 截止 ====</t>
  </si>
  <si>
    <t>4/18 14:30【8分鐘短講報名】
每個 present 8min，分享技術、議題、專案、研究皆可。</t>
  </si>
  <si>
    <t>順序</t>
  </si>
  <si>
    <t>發表時間（自填）</t>
  </si>
  <si>
    <t>短講完成</t>
  </si>
  <si>
    <t>同意錄影以 CC-By 釋出?</t>
  </si>
  <si>
    <t>三個關鍵字</t>
  </si>
  <si>
    <t>專案徵人</t>
  </si>
  <si>
    <t>muyueh</t>
  </si>
  <si>
    <t>地理資訊 + 語音技術分享</t>
  </si>
  <si>
    <t>https://sheethub.hackpad.com/--A44t3idx9RQ</t>
  </si>
  <si>
    <t xml:space="preserve">
河圖-跨議題資訊整合UI</t>
  </si>
  <si>
    <t>南港林先生(Lucien)</t>
  </si>
  <si>
    <t>民撰官酌的開放資料授權條款-期中進度說明</t>
  </si>
  <si>
    <t>https://g0v.hackpad.com/Taiwan_open_government_data_license_citizens_community_version#-</t>
  </si>
  <si>
    <t>Open Data, license, CC</t>
  </si>
  <si>
    <t>http://goo.gl/vwOqKE
http://goo.gl/od0i0M</t>
  </si>
  <si>
    <t>國會調查兵團開放資料界接分享</t>
  </si>
  <si>
    <t>https://cic.tw/</t>
  </si>
  <si>
    <t>國會調查兵團,Open Data,cic.tw</t>
  </si>
  <si>
    <t>本期開放4位8分鐘</t>
  </si>
  <si>
    <t>4/18 17:00【 present project】 規則：於106-7會議室舉行
每個 present 5min，可視 project 數量和剩餘時間調整</t>
  </si>
  <si>
    <t>17:05</t>
  </si>
  <si>
    <t>gilbert</t>
  </si>
  <si>
    <t xml:space="preserve">ok
</t>
  </si>
  <si>
    <t>政商關係圖</t>
  </si>
  <si>
    <t>17:10</t>
  </si>
  <si>
    <t>政治承諾追蹤網 ppt</t>
  </si>
  <si>
    <t>17:15</t>
  </si>
  <si>
    <t>kirby</t>
  </si>
  <si>
    <t>地圖合併工具同場加映自轉地球儀</t>
  </si>
  <si>
    <t>17:20</t>
  </si>
  <si>
    <t>17:25</t>
  </si>
  <si>
    <t>pm5</t>
  </si>
  <si>
    <t>飲水地圖</t>
  </si>
  <si>
    <t>drinking-water.teia.tw</t>
  </si>
  <si>
    <t>喝水，喝水，多喝水</t>
  </si>
  <si>
    <t>17:30</t>
  </si>
  <si>
    <t>LY</t>
  </si>
  <si>
    <t>ivod 下載</t>
  </si>
  <si>
    <t>ivod-ly.herokuapp.com</t>
  </si>
  <si>
    <t>17:35</t>
  </si>
  <si>
    <t>子姓網友</t>
  </si>
  <si>
    <t>CC授權小幫手</t>
  </si>
  <si>
    <t>https://g0v.hackpad.com/CC-Cp3CFHqbLcx</t>
  </si>
  <si>
    <t>授權</t>
  </si>
  <si>
    <t>前端工程師</t>
  </si>
  <si>
    <t>17:40</t>
  </si>
  <si>
    <t>soidid</t>
  </si>
  <si>
    <t>立法院表決資料可不可以更容易懂？</t>
  </si>
  <si>
    <t>https://g0v.hackpad.com/76CBR5VkIQn</t>
  </si>
  <si>
    <t>立法院、表決、立場</t>
  </si>
  <si>
    <t>17:45</t>
  </si>
  <si>
    <t>hychen</t>
  </si>
  <si>
    <t>17:50</t>
  </si>
  <si>
    <t>短片</t>
  </si>
  <si>
    <t>17:55</t>
  </si>
  <si>
    <t>shelling</t>
  </si>
  <si>
    <t>g0v.tw 大松小松落玉盤</t>
  </si>
  <si>
    <t>18:00</t>
  </si>
  <si>
    <t>往上填坑～</t>
  </si>
  <si>
    <t>開場場地 舞台</t>
  </si>
  <si>
    <t>白板</t>
  </si>
  <si>
    <t>門</t>
  </si>
  <si>
    <t xml:space="preserve"> 門</t>
  </si>
  <si>
    <t>阿美語</t>
  </si>
  <si>
    <t>程序正義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</si>
</sst>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:ss am/pm"/>
    <numFmt numFmtId="165" formatCode="H:mm"/>
  </numFmts>
  <fonts count="18">
    <font>
      <sz val="10.0"/>
      <color rgb="FF000000"/>
      <name val="Arial"/>
    </font>
    <font>
      <b/>
      <sz val="10.0"/>
    </font>
    <font>
      <b/>
      <sz val="8.0"/>
    </font>
    <font>
      <b/>
      <sz val="18.0"/>
      <color rgb="FFFF9700"/>
    </font>
    <font>
      <color rgb="FFFF9900"/>
    </font>
    <font/>
    <font>
      <u/>
      <color rgb="FF0000FF"/>
    </font>
    <font>
      <u/>
      <color rgb="FF0000FF"/>
    </font>
    <font>
      <sz val="10.0"/>
      <color rgb="FF000000"/>
    </font>
    <font>
      <u/>
      <sz val="10.0"/>
      <color rgb="FF0000FF"/>
    </font>
    <font>
      <sz val="10.0"/>
    </font>
    <font>
      <u/>
      <color rgb="FF0000FF"/>
    </font>
    <font>
      <u/>
      <sz val="10.0"/>
      <color rgb="FF0000FF"/>
    </font>
    <font>
      <u/>
      <sz val="10.0"/>
      <color rgb="FF000000"/>
    </font>
    <font>
      <u/>
      <color rgb="FF0000FF"/>
    </font>
    <font>
      <sz val="14.0"/>
    </font>
    <font>
      <sz val="12.0"/>
    </font>
    <font>
      <sz val="6.0"/>
    </font>
  </fonts>
  <fills count="8">
    <fill>
      <patternFill patternType="none"/>
    </fill>
    <fill>
      <patternFill patternType="lightGray"/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0" fillId="3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5" numFmtId="20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 shrinkToFit="0" vertical="center" wrapText="1"/>
    </xf>
    <xf borderId="0" fillId="4" fontId="5" numFmtId="0" xfId="0" applyAlignment="1" applyFill="1" applyFont="1">
      <alignment horizontal="left" readingOrder="0" shrinkToFit="0" vertical="center" wrapText="1"/>
    </xf>
    <xf borderId="0" fillId="2" fontId="5" numFmtId="0" xfId="0" applyAlignment="1" applyFont="1">
      <alignment readingOrder="0" shrinkToFit="0" wrapText="1"/>
    </xf>
    <xf borderId="0" fillId="4" fontId="9" numFmtId="0" xfId="0" applyAlignment="1" applyFont="1">
      <alignment horizontal="left" readingOrder="0" shrinkToFit="0" wrapText="1"/>
    </xf>
    <xf borderId="0" fillId="2" fontId="5" numFmtId="0" xfId="0" applyAlignment="1" applyFont="1">
      <alignment horizontal="center" readingOrder="0" shrinkToFit="0" wrapText="1"/>
    </xf>
    <xf borderId="0" fillId="4" fontId="10" numFmtId="0" xfId="0" applyAlignment="1" applyFont="1">
      <alignment horizontal="left" readingOrder="0" shrinkToFit="0" wrapText="1"/>
    </xf>
    <xf borderId="0" fillId="0" fontId="11" numFmtId="0" xfId="0" applyAlignment="1" applyFont="1">
      <alignment readingOrder="0" shrinkToFit="0" vertical="center" wrapText="1"/>
    </xf>
    <xf borderId="0" fillId="0" fontId="12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3" numFmtId="0" xfId="0" applyAlignment="1" applyFont="1">
      <alignment readingOrder="0" shrinkToFit="0" vertical="center" wrapText="1"/>
    </xf>
    <xf quotePrefix="1" borderId="0" fillId="0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5" numFmtId="0" xfId="0" applyAlignment="1" applyFont="1">
      <alignment horizontal="right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vertical="center" wrapText="1"/>
    </xf>
    <xf borderId="0" fillId="5" fontId="5" numFmtId="0" xfId="0" applyAlignment="1" applyFill="1" applyFont="1">
      <alignment shrinkToFit="0" vertical="center" wrapText="1"/>
    </xf>
    <xf borderId="0" fillId="5" fontId="10" numFmtId="0" xfId="0" applyAlignment="1" applyFont="1">
      <alignment horizontal="center" readingOrder="0" shrinkToFit="0" wrapText="1"/>
    </xf>
    <xf quotePrefix="1" borderId="0" fillId="5" fontId="10" numFmtId="0" xfId="0" applyAlignment="1" applyFont="1">
      <alignment horizontal="center" readingOrder="0" shrinkToFit="0" wrapText="1"/>
    </xf>
    <xf borderId="0" fillId="5" fontId="5" numFmtId="0" xfId="0" applyAlignment="1" applyFont="1">
      <alignment horizontal="center" shrinkToFit="0" vertical="center" wrapText="1"/>
    </xf>
    <xf borderId="0" fillId="5" fontId="5" numFmtId="0" xfId="0" applyAlignment="1" applyFont="1">
      <alignment readingOrder="0" shrinkToFit="0" vertical="center" wrapText="1"/>
    </xf>
    <xf borderId="0" fillId="5" fontId="5" numFmtId="0" xfId="0" applyAlignment="1" applyFont="1">
      <alignment horizontal="center" readingOrder="0" shrinkToFit="0" vertical="center" wrapText="1"/>
    </xf>
    <xf borderId="0" fillId="6" fontId="5" numFmtId="0" xfId="0" applyAlignment="1" applyFill="1" applyFont="1">
      <alignment shrinkToFit="0" wrapText="1"/>
    </xf>
    <xf borderId="0" fillId="0" fontId="5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0" fontId="5" numFmtId="165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7" fontId="5" numFmtId="0" xfId="0" applyAlignment="1" applyFill="1" applyFont="1">
      <alignment shrinkToFit="0" vertical="center" wrapText="1"/>
    </xf>
    <xf borderId="0" fillId="7" fontId="5" numFmtId="0" xfId="0" applyAlignment="1" applyFont="1">
      <alignment horizontal="center" shrinkToFit="0" vertical="center" wrapText="1"/>
    </xf>
    <xf borderId="0" fillId="7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bottom" wrapText="1"/>
    </xf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shrinkToFit="0" wrapText="1"/>
    </xf>
    <xf borderId="3" fillId="0" fontId="17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wrapText="1"/>
    </xf>
    <xf borderId="2" fillId="0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ivod-ly.herokuapp.com" TargetMode="External"/><Relationship Id="rId20" Type="http://schemas.openxmlformats.org/officeDocument/2006/relationships/hyperlink" Target="https://docs.google.com/document/d/1rKRk4ZL8ROpjeS23006tt61a71jJezbwPSIuEY8jOrY/edit?usp=sharing" TargetMode="External"/><Relationship Id="rId42" Type="http://schemas.openxmlformats.org/officeDocument/2006/relationships/hyperlink" Target="https://g0v.hackpad.com/76CBR5VkIQn" TargetMode="External"/><Relationship Id="rId41" Type="http://schemas.openxmlformats.org/officeDocument/2006/relationships/hyperlink" Target="https://g0v.hackpad.com/CC-Cp3CFHqbLcx" TargetMode="External"/><Relationship Id="rId22" Type="http://schemas.openxmlformats.org/officeDocument/2006/relationships/hyperlink" Target="https://www.youtube.com/watch?v=wrN-b-ivxf8&amp;index=10&amp;list=PLdwQWxpS513BhZaBy3VdW2MHQZd3ziulN" TargetMode="External"/><Relationship Id="rId44" Type="http://schemas.openxmlformats.org/officeDocument/2006/relationships/vmlDrawing" Target="../drawings/vmlDrawing1.vml"/><Relationship Id="rId21" Type="http://schemas.openxmlformats.org/officeDocument/2006/relationships/hyperlink" Target="https://cic.tw/opensource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://bit.ly/soak-g0v" TargetMode="External"/><Relationship Id="rId23" Type="http://schemas.openxmlformats.org/officeDocument/2006/relationships/hyperlink" Target="https://www.youtube.com/watch?v=YzR0iHp1wYM&amp;index=12&amp;list=PLdwQWxpS513BhZaBy3VdW2MHQZd3ziulN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ckitchen.hackpad.com/1XXUB9gMNul" TargetMode="External"/><Relationship Id="rId3" Type="http://schemas.openxmlformats.org/officeDocument/2006/relationships/hyperlink" Target="https://www.youtube.com/watch?v=6tTFpZZLXb8&amp;index=2&amp;list=PLdwQWxpS513BhZaBy3VdW2MHQZd3ziulN" TargetMode="External"/><Relationship Id="rId4" Type="http://schemas.openxmlformats.org/officeDocument/2006/relationships/hyperlink" Target="https://g0v.hackpad.com/IVOD--bwKQ3P8bGMv" TargetMode="External"/><Relationship Id="rId9" Type="http://schemas.openxmlformats.org/officeDocument/2006/relationships/hyperlink" Target="https://g0v.hackpad.com/-x--ZlxnPcG1xLm" TargetMode="External"/><Relationship Id="rId26" Type="http://schemas.openxmlformats.org/officeDocument/2006/relationships/hyperlink" Target="https://www.youtube.com/watch?v=OsiFJhyxCm4&amp;index=13&amp;list=PLdwQWxpS513BhZaBy3VdW2MHQZd3ziulN" TargetMode="External"/><Relationship Id="rId25" Type="http://schemas.openxmlformats.org/officeDocument/2006/relationships/hyperlink" Target="https://g0v.hackpad.com/xG0V--FoQcVuzFAOX" TargetMode="External"/><Relationship Id="rId28" Type="http://schemas.openxmlformats.org/officeDocument/2006/relationships/hyperlink" Target="https://www.youtube.com/watch?v=aXWhfAS16QE&amp;index=14&amp;list=PLdwQWxpS513BhZaBy3VdW2MHQZd3ziulN" TargetMode="External"/><Relationship Id="rId27" Type="http://schemas.openxmlformats.org/officeDocument/2006/relationships/hyperlink" Target="https://g0v.hackpad.com/--OoaenzjVDKK" TargetMode="External"/><Relationship Id="rId5" Type="http://schemas.openxmlformats.org/officeDocument/2006/relationships/hyperlink" Target="https://www.youtube.com/watch?v=nAj4tnk09L4&amp;index=3&amp;list=PLdwQWxpS513BhZaBy3VdW2MHQZd3ziulN" TargetMode="External"/><Relationship Id="rId6" Type="http://schemas.openxmlformats.org/officeDocument/2006/relationships/hyperlink" Target="http://www.slideshare.net/yhsiang/ss-47052684" TargetMode="External"/><Relationship Id="rId29" Type="http://schemas.openxmlformats.org/officeDocument/2006/relationships/hyperlink" Target="https://www.youtube.com/watch?v=I2zJGVW0wy4&amp;index=15&amp;list=PLdwQWxpS513BhZaBy3VdW2MHQZd3ziulN" TargetMode="External"/><Relationship Id="rId7" Type="http://schemas.openxmlformats.org/officeDocument/2006/relationships/hyperlink" Target="http://bit.ly/1Hi7BAf" TargetMode="External"/><Relationship Id="rId8" Type="http://schemas.openxmlformats.org/officeDocument/2006/relationships/hyperlink" Target="https://www.youtube.com/watch?v=PqFg8NlqOls&amp;index=4&amp;list=PLdwQWxpS513BhZaBy3VdW2MHQZd3ziulN" TargetMode="External"/><Relationship Id="rId31" Type="http://schemas.openxmlformats.org/officeDocument/2006/relationships/hyperlink" Target="https://www.youtube.com/watch?v=gN7GNMllzYE&amp;index=16&amp;list=PLdwQWxpS513BhZaBy3VdW2MHQZd3ziulN" TargetMode="External"/><Relationship Id="rId30" Type="http://schemas.openxmlformats.org/officeDocument/2006/relationships/hyperlink" Target="https://g0v.hackpad.com/2015-WWViews-TW--W6l1GtZ3l1A" TargetMode="External"/><Relationship Id="rId11" Type="http://schemas.openxmlformats.org/officeDocument/2006/relationships/hyperlink" Target="http://bit.ly/1CWo9at" TargetMode="External"/><Relationship Id="rId33" Type="http://schemas.openxmlformats.org/officeDocument/2006/relationships/hyperlink" Target="http://goo.gl/Uj1sO6" TargetMode="External"/><Relationship Id="rId10" Type="http://schemas.openxmlformats.org/officeDocument/2006/relationships/hyperlink" Target="https://www.youtube.com/watch?v=tgn_-A1VFIU&amp;index=5&amp;list=PLdwQWxpS513BhZaBy3VdW2MHQZd3ziulN" TargetMode="External"/><Relationship Id="rId32" Type="http://schemas.openxmlformats.org/officeDocument/2006/relationships/hyperlink" Target="https://www.youtube.com/watch?v=Rkq-tj15I78&amp;index=17&amp;list=PLdwQWxpS513BhZaBy3VdW2MHQZd3ziulN" TargetMode="External"/><Relationship Id="rId13" Type="http://schemas.openxmlformats.org/officeDocument/2006/relationships/hyperlink" Target="https://g0v.hackpad.com/-Political-Promise-Tracker-4a31UkdBItq" TargetMode="External"/><Relationship Id="rId35" Type="http://schemas.openxmlformats.org/officeDocument/2006/relationships/hyperlink" Target="http://goo.gl/Uj1sO6" TargetMode="External"/><Relationship Id="rId12" Type="http://schemas.openxmlformats.org/officeDocument/2006/relationships/hyperlink" Target="https://www.youtube.com/watch?v=juzP9pBVYW8&amp;index=6&amp;list=PLdwQWxpS513BhZaBy3VdW2MHQZd3ziulN" TargetMode="External"/><Relationship Id="rId34" Type="http://schemas.openxmlformats.org/officeDocument/2006/relationships/hyperlink" Target="https://sheethub.hackpad.com/--A44t3idx9RQ" TargetMode="External"/><Relationship Id="rId15" Type="http://schemas.openxmlformats.org/officeDocument/2006/relationships/hyperlink" Target="http://goo.gl/m0yTni" TargetMode="External"/><Relationship Id="rId37" Type="http://schemas.openxmlformats.org/officeDocument/2006/relationships/hyperlink" Target="https://cic.tw/" TargetMode="External"/><Relationship Id="rId14" Type="http://schemas.openxmlformats.org/officeDocument/2006/relationships/hyperlink" Target="https://www.youtube.com/watch?v=vqfZALpAQVc&amp;index=7&amp;list=PLdwQWxpS513BhZaBy3VdW2MHQZd3ziulN" TargetMode="External"/><Relationship Id="rId36" Type="http://schemas.openxmlformats.org/officeDocument/2006/relationships/hyperlink" Target="https://g0v.hackpad.com/Taiwan_open_government_data_license_citizens_community_version" TargetMode="External"/><Relationship Id="rId17" Type="http://schemas.openxmlformats.org/officeDocument/2006/relationships/hyperlink" Target="https://www.youtube.com/watch?v=0rUJCZMnQeI&amp;index=8&amp;list=PLdwQWxpS513BhZaBy3VdW2MHQZd3ziulN" TargetMode="External"/><Relationship Id="rId39" Type="http://schemas.openxmlformats.org/officeDocument/2006/relationships/hyperlink" Target="http://drinking-water.teia.tw" TargetMode="External"/><Relationship Id="rId16" Type="http://schemas.openxmlformats.org/officeDocument/2006/relationships/hyperlink" Target="https://g0v.hackpad.com/87CNswL2g7U" TargetMode="External"/><Relationship Id="rId38" Type="http://schemas.openxmlformats.org/officeDocument/2006/relationships/hyperlink" Target="https://g0v.hackpad.com/-Political-Promise-Tracker-4a31UkdBItq" TargetMode="External"/><Relationship Id="rId19" Type="http://schemas.openxmlformats.org/officeDocument/2006/relationships/hyperlink" Target="https://www.youtube.com/watch?v=zFcxJBY4ULs&amp;index=9&amp;list=PLdwQWxpS513BhZaBy3VdW2MHQZd3ziulN" TargetMode="External"/><Relationship Id="rId18" Type="http://schemas.openxmlformats.org/officeDocument/2006/relationships/hyperlink" Target="http://nspo.g0v.tw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25"/>
    <col customWidth="1" min="6" max="6" width="22.38"/>
    <col customWidth="1" min="7" max="7" width="11.63"/>
    <col customWidth="1" min="8" max="8" width="37.25"/>
    <col customWidth="1" min="9" max="9" width="23.63"/>
    <col customWidth="1" min="10" max="10" width="22.5"/>
    <col customWidth="1" min="11" max="11" width="15.5"/>
    <col customWidth="1" min="12" max="12" width="18.13"/>
    <col customWidth="1" min="13" max="13" width="26.38"/>
  </cols>
  <sheetData>
    <row r="1" ht="15.0" customHeight="1">
      <c r="A1" s="1"/>
      <c r="B1" s="2" t="s">
        <v>0</v>
      </c>
      <c r="C1" s="3" t="s">
        <v>1</v>
      </c>
      <c r="D1" s="2" t="s">
        <v>2</v>
      </c>
      <c r="E1" s="4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ht="15.0" customHeight="1">
      <c r="A2" s="5" t="s">
        <v>12</v>
      </c>
    </row>
    <row r="3" ht="15.0" customHeight="1">
      <c r="A3" s="6" t="s">
        <v>13</v>
      </c>
      <c r="D3" s="6"/>
      <c r="K3" s="6"/>
      <c r="L3" s="6"/>
      <c r="M3" s="6"/>
    </row>
    <row r="4" ht="15.0" customHeight="1">
      <c r="A4" s="7">
        <v>1.0</v>
      </c>
      <c r="B4" s="8">
        <v>0.4027777777777778</v>
      </c>
      <c r="C4" s="7" t="s">
        <v>14</v>
      </c>
      <c r="D4" s="7" t="s">
        <v>15</v>
      </c>
      <c r="E4" s="9" t="s">
        <v>16</v>
      </c>
      <c r="F4" s="7" t="s">
        <v>17</v>
      </c>
      <c r="G4" s="7" t="s">
        <v>18</v>
      </c>
      <c r="H4" s="10" t="s">
        <v>19</v>
      </c>
      <c r="I4" s="7" t="s">
        <v>20</v>
      </c>
      <c r="J4" s="7" t="s">
        <v>21</v>
      </c>
      <c r="K4" s="11" t="s">
        <v>22</v>
      </c>
      <c r="L4" s="12"/>
      <c r="M4" s="7"/>
    </row>
    <row r="5" ht="15.0" customHeight="1">
      <c r="A5" s="13">
        <f t="shared" ref="A5:A22" si="1">A4+1</f>
        <v>2</v>
      </c>
      <c r="B5" s="14">
        <f t="shared" ref="B5:B11" si="2">B4+3/24/60</f>
        <v>0.4048611111</v>
      </c>
      <c r="C5" s="7"/>
      <c r="D5" s="7"/>
      <c r="E5" s="9"/>
      <c r="F5" s="7"/>
      <c r="G5" s="7"/>
      <c r="H5" s="7"/>
      <c r="I5" s="7"/>
      <c r="J5" s="7"/>
      <c r="K5" s="7"/>
      <c r="L5" s="12"/>
      <c r="M5" s="12"/>
    </row>
    <row r="6" ht="15.0" customHeight="1">
      <c r="A6" s="13">
        <f t="shared" si="1"/>
        <v>3</v>
      </c>
      <c r="B6" s="14">
        <f t="shared" si="2"/>
        <v>0.4069444444</v>
      </c>
      <c r="C6" s="7"/>
      <c r="D6" s="15"/>
      <c r="E6" s="9"/>
      <c r="F6" s="15"/>
      <c r="G6" s="15"/>
      <c r="H6" s="15"/>
      <c r="I6" s="15"/>
      <c r="J6" s="7"/>
      <c r="K6" s="7"/>
      <c r="L6" s="12"/>
      <c r="M6" s="12"/>
    </row>
    <row r="7" ht="15.0" customHeight="1">
      <c r="A7" s="13">
        <f t="shared" si="1"/>
        <v>4</v>
      </c>
      <c r="B7" s="14">
        <f t="shared" si="2"/>
        <v>0.4090277778</v>
      </c>
      <c r="C7" s="7" t="s">
        <v>14</v>
      </c>
      <c r="D7" s="7" t="s">
        <v>23</v>
      </c>
      <c r="E7" s="9" t="s">
        <v>24</v>
      </c>
      <c r="F7" s="7" t="s">
        <v>25</v>
      </c>
      <c r="G7" s="7" t="s">
        <v>26</v>
      </c>
      <c r="H7" s="11" t="s">
        <v>27</v>
      </c>
      <c r="I7" s="7" t="s">
        <v>28</v>
      </c>
      <c r="J7" s="7" t="s">
        <v>29</v>
      </c>
      <c r="K7" s="11" t="s">
        <v>30</v>
      </c>
      <c r="L7" s="12"/>
      <c r="M7" s="11" t="s">
        <v>31</v>
      </c>
    </row>
    <row r="8" ht="15.0" customHeight="1">
      <c r="A8" s="13">
        <f t="shared" si="1"/>
        <v>5</v>
      </c>
      <c r="B8" s="14">
        <f t="shared" si="2"/>
        <v>0.4111111111</v>
      </c>
      <c r="C8" s="7" t="s">
        <v>14</v>
      </c>
      <c r="D8" s="7" t="s">
        <v>32</v>
      </c>
      <c r="E8" s="9" t="s">
        <v>33</v>
      </c>
      <c r="F8" s="16" t="s">
        <v>34</v>
      </c>
      <c r="G8" s="7" t="s">
        <v>35</v>
      </c>
      <c r="H8" s="11" t="s">
        <v>36</v>
      </c>
      <c r="I8" s="7" t="s">
        <v>37</v>
      </c>
      <c r="J8" s="7" t="s">
        <v>38</v>
      </c>
      <c r="K8" s="11" t="s">
        <v>39</v>
      </c>
      <c r="L8" s="12"/>
      <c r="M8" s="12"/>
    </row>
    <row r="9" ht="15.0" customHeight="1">
      <c r="A9" s="13">
        <f t="shared" si="1"/>
        <v>6</v>
      </c>
      <c r="B9" s="14">
        <f t="shared" si="2"/>
        <v>0.4131944444</v>
      </c>
      <c r="C9" s="7" t="s">
        <v>14</v>
      </c>
      <c r="D9" s="7" t="s">
        <v>40</v>
      </c>
      <c r="E9" s="9" t="s">
        <v>33</v>
      </c>
      <c r="F9" s="7" t="s">
        <v>41</v>
      </c>
      <c r="G9" s="7" t="s">
        <v>18</v>
      </c>
      <c r="H9" s="11" t="s">
        <v>42</v>
      </c>
      <c r="I9" s="7" t="s">
        <v>43</v>
      </c>
      <c r="J9" s="7" t="s">
        <v>44</v>
      </c>
      <c r="K9" s="11" t="s">
        <v>45</v>
      </c>
      <c r="L9" s="12"/>
      <c r="M9" s="7"/>
    </row>
    <row r="10" ht="15.0" customHeight="1">
      <c r="A10" s="13">
        <f t="shared" si="1"/>
        <v>7</v>
      </c>
      <c r="B10" s="14">
        <f t="shared" si="2"/>
        <v>0.4152777778</v>
      </c>
      <c r="C10" s="7" t="s">
        <v>14</v>
      </c>
      <c r="D10" s="17" t="s">
        <v>46</v>
      </c>
      <c r="E10" s="18" t="s">
        <v>33</v>
      </c>
      <c r="F10" s="15" t="s">
        <v>47</v>
      </c>
      <c r="G10" s="7" t="s">
        <v>35</v>
      </c>
      <c r="H10" s="11" t="s">
        <v>48</v>
      </c>
      <c r="I10" s="7" t="s">
        <v>49</v>
      </c>
      <c r="J10" s="7" t="s">
        <v>50</v>
      </c>
      <c r="K10" s="11" t="s">
        <v>51</v>
      </c>
      <c r="L10" s="12"/>
      <c r="M10" s="7"/>
    </row>
    <row r="11" ht="15.0" customHeight="1">
      <c r="A11" s="13">
        <f t="shared" si="1"/>
        <v>8</v>
      </c>
      <c r="B11" s="14">
        <f t="shared" si="2"/>
        <v>0.4173611111</v>
      </c>
      <c r="C11" s="7" t="s">
        <v>14</v>
      </c>
      <c r="D11" s="7" t="s">
        <v>52</v>
      </c>
      <c r="E11" s="9" t="s">
        <v>33</v>
      </c>
      <c r="F11" s="7" t="s">
        <v>53</v>
      </c>
      <c r="G11" s="7" t="s">
        <v>18</v>
      </c>
      <c r="H11" s="11" t="s">
        <v>54</v>
      </c>
      <c r="I11" s="7" t="s">
        <v>55</v>
      </c>
      <c r="J11" s="7" t="s">
        <v>56</v>
      </c>
      <c r="K11" s="11" t="s">
        <v>57</v>
      </c>
      <c r="L11" s="12"/>
      <c r="M11" s="19" t="s">
        <v>58</v>
      </c>
    </row>
    <row r="12" ht="15.0" customHeight="1">
      <c r="A12" s="13">
        <f t="shared" si="1"/>
        <v>9</v>
      </c>
      <c r="B12" s="14">
        <f t="shared" ref="B12:B13" si="3">B17+3/24/60</f>
        <v>0.4319444444</v>
      </c>
      <c r="C12" s="7" t="s">
        <v>14</v>
      </c>
      <c r="D12" s="7" t="s">
        <v>59</v>
      </c>
      <c r="E12" s="9" t="s">
        <v>24</v>
      </c>
      <c r="F12" s="7"/>
      <c r="G12" s="7" t="s">
        <v>60</v>
      </c>
      <c r="H12" s="11" t="s">
        <v>61</v>
      </c>
      <c r="I12" s="7" t="s">
        <v>62</v>
      </c>
      <c r="J12" s="7" t="s">
        <v>63</v>
      </c>
      <c r="K12" s="11" t="s">
        <v>64</v>
      </c>
      <c r="L12" s="7"/>
      <c r="M12" s="7"/>
    </row>
    <row r="13" ht="15.0" customHeight="1">
      <c r="A13" s="13">
        <f t="shared" si="1"/>
        <v>10</v>
      </c>
      <c r="B13" s="14">
        <f t="shared" si="3"/>
        <v>0.4215277778</v>
      </c>
      <c r="C13" s="7" t="s">
        <v>14</v>
      </c>
      <c r="D13" s="15" t="s">
        <v>65</v>
      </c>
      <c r="E13" s="20" t="s">
        <v>33</v>
      </c>
      <c r="F13" s="15" t="s">
        <v>66</v>
      </c>
      <c r="G13" s="15" t="s">
        <v>67</v>
      </c>
      <c r="H13" s="10" t="s">
        <v>68</v>
      </c>
      <c r="I13" s="15" t="s">
        <v>69</v>
      </c>
      <c r="J13" s="15" t="s">
        <v>70</v>
      </c>
      <c r="K13" s="11" t="s">
        <v>71</v>
      </c>
      <c r="L13" s="12"/>
      <c r="M13" s="12"/>
    </row>
    <row r="14" ht="15.0" customHeight="1">
      <c r="A14" s="13">
        <f t="shared" si="1"/>
        <v>11</v>
      </c>
      <c r="B14" s="14">
        <f t="shared" ref="B14:B17" si="4">B13+3/24/60</f>
        <v>0.4236111111</v>
      </c>
      <c r="C14" s="7"/>
      <c r="D14" s="7"/>
      <c r="E14" s="9"/>
      <c r="F14" s="7"/>
      <c r="G14" s="21"/>
      <c r="H14" s="7"/>
      <c r="I14" s="7"/>
      <c r="M14" s="7"/>
    </row>
    <row r="15" ht="15.0" customHeight="1">
      <c r="A15" s="13">
        <f t="shared" si="1"/>
        <v>12</v>
      </c>
      <c r="B15" s="14">
        <f t="shared" si="4"/>
        <v>0.4256944444</v>
      </c>
      <c r="C15" s="7" t="s">
        <v>14</v>
      </c>
      <c r="D15" s="13" t="s">
        <v>72</v>
      </c>
      <c r="E15" s="9" t="s">
        <v>33</v>
      </c>
      <c r="F15" s="13" t="s">
        <v>73</v>
      </c>
      <c r="G15" s="21" t="s">
        <v>74</v>
      </c>
      <c r="H15" s="19" t="s">
        <v>75</v>
      </c>
      <c r="I15" s="7"/>
      <c r="J15" s="7"/>
      <c r="K15" s="7"/>
      <c r="L15" s="12"/>
      <c r="M15" s="12"/>
    </row>
    <row r="16" ht="15.0" customHeight="1">
      <c r="A16" s="13">
        <f t="shared" si="1"/>
        <v>13</v>
      </c>
      <c r="B16" s="14">
        <f t="shared" si="4"/>
        <v>0.4277777778</v>
      </c>
      <c r="C16" s="7" t="s">
        <v>14</v>
      </c>
      <c r="D16" s="7" t="s">
        <v>76</v>
      </c>
      <c r="E16" s="9" t="s">
        <v>24</v>
      </c>
      <c r="F16" s="7" t="s">
        <v>77</v>
      </c>
      <c r="G16" s="21" t="s">
        <v>60</v>
      </c>
      <c r="H16" s="11" t="s">
        <v>78</v>
      </c>
      <c r="I16" s="7" t="s">
        <v>79</v>
      </c>
      <c r="J16" s="7"/>
      <c r="K16" s="11" t="s">
        <v>80</v>
      </c>
      <c r="L16" s="12"/>
      <c r="M16" s="12"/>
    </row>
    <row r="17" ht="15.0" customHeight="1">
      <c r="A17" s="13">
        <f t="shared" si="1"/>
        <v>14</v>
      </c>
      <c r="B17" s="14">
        <f t="shared" si="4"/>
        <v>0.4298611111</v>
      </c>
      <c r="C17" s="7" t="s">
        <v>14</v>
      </c>
      <c r="D17" s="7" t="s">
        <v>81</v>
      </c>
      <c r="E17" s="9" t="s">
        <v>82</v>
      </c>
      <c r="F17" s="7" t="s">
        <v>83</v>
      </c>
      <c r="G17" s="7" t="s">
        <v>26</v>
      </c>
      <c r="H17" s="22" t="str">
        <f>HYPERLINK("https://g0v.hackpad.com/iWODvWQnIGM","https://g0v.hackpad.com/iWODvWQnIGM")</f>
        <v>https://g0v.hackpad.com/iWODvWQnIGM</v>
      </c>
      <c r="I17" s="7" t="s">
        <v>84</v>
      </c>
      <c r="J17" s="7" t="s">
        <v>85</v>
      </c>
      <c r="K17" s="11" t="s">
        <v>86</v>
      </c>
      <c r="L17" s="12"/>
      <c r="M17" s="11" t="s">
        <v>87</v>
      </c>
    </row>
    <row r="18" ht="15.0" customHeight="1">
      <c r="A18" s="13">
        <f t="shared" si="1"/>
        <v>15</v>
      </c>
      <c r="B18" s="14">
        <f t="shared" ref="B18:B19" si="5">B11+3/24/60</f>
        <v>0.4194444444</v>
      </c>
      <c r="C18" s="7" t="s">
        <v>14</v>
      </c>
      <c r="D18" s="7" t="s">
        <v>88</v>
      </c>
      <c r="E18" s="9" t="s">
        <v>33</v>
      </c>
      <c r="F18" s="7" t="s">
        <v>89</v>
      </c>
      <c r="G18" s="7" t="s">
        <v>18</v>
      </c>
      <c r="H18" s="23" t="s">
        <v>90</v>
      </c>
      <c r="I18" s="24" t="s">
        <v>91</v>
      </c>
      <c r="J18" s="7" t="s">
        <v>92</v>
      </c>
      <c r="K18" s="11" t="s">
        <v>93</v>
      </c>
      <c r="L18" s="12"/>
      <c r="M18" s="7"/>
    </row>
    <row r="19" ht="15.0" customHeight="1">
      <c r="A19" s="13">
        <f t="shared" si="1"/>
        <v>16</v>
      </c>
      <c r="B19" s="14">
        <f t="shared" si="5"/>
        <v>0.4340277778</v>
      </c>
      <c r="C19" s="7" t="s">
        <v>14</v>
      </c>
      <c r="D19" s="13" t="s">
        <v>94</v>
      </c>
      <c r="E19" s="9" t="s">
        <v>24</v>
      </c>
      <c r="F19" s="13" t="s">
        <v>95</v>
      </c>
      <c r="G19" s="7" t="s">
        <v>60</v>
      </c>
      <c r="H19" s="25" t="s">
        <v>96</v>
      </c>
      <c r="I19" s="13" t="s">
        <v>97</v>
      </c>
      <c r="J19" s="7" t="s">
        <v>98</v>
      </c>
      <c r="K19" s="11" t="s">
        <v>99</v>
      </c>
      <c r="L19" s="12"/>
      <c r="M19" s="7"/>
    </row>
    <row r="20" ht="15.0" customHeight="1">
      <c r="A20" s="13">
        <f t="shared" si="1"/>
        <v>17</v>
      </c>
      <c r="B20" s="14">
        <f t="shared" ref="B20:B22" si="6">B19+3/24/60</f>
        <v>0.4361111111</v>
      </c>
      <c r="C20" s="7" t="s">
        <v>14</v>
      </c>
      <c r="D20" s="7" t="s">
        <v>100</v>
      </c>
      <c r="E20" s="9" t="s">
        <v>101</v>
      </c>
      <c r="F20" s="7" t="s">
        <v>102</v>
      </c>
      <c r="G20" s="15" t="s">
        <v>18</v>
      </c>
      <c r="I20" s="7" t="s">
        <v>103</v>
      </c>
      <c r="K20" s="11" t="s">
        <v>104</v>
      </c>
      <c r="L20" s="12"/>
      <c r="M20" s="7"/>
    </row>
    <row r="21" ht="15.0" customHeight="1">
      <c r="A21" s="13">
        <f t="shared" si="1"/>
        <v>18</v>
      </c>
      <c r="B21" s="14">
        <f t="shared" si="6"/>
        <v>0.4381944444</v>
      </c>
      <c r="C21" s="7" t="s">
        <v>14</v>
      </c>
      <c r="D21" s="7" t="s">
        <v>105</v>
      </c>
      <c r="E21" s="9" t="s">
        <v>33</v>
      </c>
      <c r="F21" s="7" t="s">
        <v>106</v>
      </c>
      <c r="G21" s="21"/>
      <c r="H21" s="11" t="s">
        <v>107</v>
      </c>
      <c r="I21" s="7" t="s">
        <v>108</v>
      </c>
      <c r="J21" s="7" t="s">
        <v>109</v>
      </c>
      <c r="K21" s="11" t="s">
        <v>110</v>
      </c>
      <c r="L21" s="12"/>
      <c r="M21" s="7"/>
    </row>
    <row r="22" ht="15.0" customHeight="1">
      <c r="A22" s="13">
        <f t="shared" si="1"/>
        <v>19</v>
      </c>
      <c r="B22" s="14">
        <f t="shared" si="6"/>
        <v>0.4402777778</v>
      </c>
      <c r="C22" s="7" t="s">
        <v>14</v>
      </c>
      <c r="D22" s="7" t="s">
        <v>111</v>
      </c>
      <c r="E22" s="9" t="s">
        <v>33</v>
      </c>
      <c r="F22" s="7" t="s">
        <v>112</v>
      </c>
      <c r="G22" s="7"/>
      <c r="H22" s="7" t="s">
        <v>113</v>
      </c>
      <c r="I22" s="7" t="s">
        <v>114</v>
      </c>
      <c r="J22" s="7" t="s">
        <v>115</v>
      </c>
      <c r="K22" s="11" t="s">
        <v>116</v>
      </c>
      <c r="M22" s="10" t="s">
        <v>117</v>
      </c>
    </row>
    <row r="23" ht="15.0" customHeight="1">
      <c r="A23" s="26" t="s">
        <v>118</v>
      </c>
      <c r="F23" s="7"/>
      <c r="G23" s="7"/>
      <c r="H23" s="7"/>
      <c r="I23" s="7"/>
      <c r="J23" s="7"/>
      <c r="K23" s="7"/>
      <c r="L23" s="12"/>
      <c r="M23" s="7"/>
    </row>
    <row r="24" ht="15.0" customHeight="1">
      <c r="A24" s="7"/>
      <c r="B24" s="14"/>
      <c r="C24" s="7"/>
      <c r="D24" s="7"/>
      <c r="E24" s="9"/>
      <c r="F24" s="7"/>
      <c r="G24" s="7"/>
      <c r="H24" s="7"/>
      <c r="I24" s="7"/>
      <c r="J24" s="7"/>
      <c r="K24" s="7"/>
      <c r="L24" s="12"/>
      <c r="M24" s="12"/>
    </row>
    <row r="25" ht="15.0" customHeight="1">
      <c r="A25" s="5" t="s">
        <v>119</v>
      </c>
    </row>
    <row r="26" ht="15.0" customHeight="1">
      <c r="A26" s="27" t="s">
        <v>120</v>
      </c>
      <c r="B26" s="2" t="s">
        <v>121</v>
      </c>
      <c r="C26" s="1" t="s">
        <v>122</v>
      </c>
      <c r="D26" s="27" t="s">
        <v>2</v>
      </c>
      <c r="E26" s="28" t="s">
        <v>123</v>
      </c>
      <c r="F26" s="27" t="s">
        <v>4</v>
      </c>
      <c r="G26" s="29"/>
      <c r="H26" s="27" t="s">
        <v>6</v>
      </c>
      <c r="I26" s="27" t="s">
        <v>124</v>
      </c>
      <c r="J26" s="27" t="s">
        <v>125</v>
      </c>
      <c r="K26" s="29"/>
      <c r="L26" s="29"/>
      <c r="M26" s="29"/>
    </row>
    <row r="27" ht="15.0" customHeight="1">
      <c r="A27" s="30">
        <v>1.0</v>
      </c>
      <c r="B27" s="14">
        <v>0.6041666666666666</v>
      </c>
      <c r="C27" s="7" t="s">
        <v>14</v>
      </c>
      <c r="D27" s="16" t="s">
        <v>126</v>
      </c>
      <c r="E27" s="9" t="s">
        <v>24</v>
      </c>
      <c r="F27" s="16" t="s">
        <v>127</v>
      </c>
      <c r="G27" s="7"/>
      <c r="H27" s="31" t="s">
        <v>128</v>
      </c>
      <c r="I27" s="16"/>
      <c r="J27" s="12"/>
      <c r="K27" s="16"/>
      <c r="L27" s="32"/>
      <c r="M27" s="32"/>
    </row>
    <row r="28" ht="15.0" customHeight="1">
      <c r="A28" s="30">
        <v>2.0</v>
      </c>
      <c r="B28" s="14">
        <v>0.6097222222222223</v>
      </c>
      <c r="C28" s="7" t="s">
        <v>14</v>
      </c>
      <c r="D28" s="16" t="s">
        <v>111</v>
      </c>
      <c r="E28" s="9" t="s">
        <v>24</v>
      </c>
      <c r="F28" s="16" t="s">
        <v>129</v>
      </c>
      <c r="G28" s="32"/>
      <c r="H28" s="33" t="s">
        <v>113</v>
      </c>
      <c r="I28" s="7" t="s">
        <v>114</v>
      </c>
      <c r="J28" s="7" t="s">
        <v>115</v>
      </c>
      <c r="K28" s="16"/>
      <c r="L28" s="32"/>
      <c r="M28" s="31" t="s">
        <v>117</v>
      </c>
    </row>
    <row r="29" ht="15.0" customHeight="1">
      <c r="A29" s="30">
        <v>3.0</v>
      </c>
      <c r="B29" s="14">
        <v>0.6152777777777778</v>
      </c>
      <c r="C29" s="16" t="s">
        <v>14</v>
      </c>
      <c r="D29" s="15" t="s">
        <v>130</v>
      </c>
      <c r="E29" s="9" t="s">
        <v>24</v>
      </c>
      <c r="F29" s="15" t="s">
        <v>131</v>
      </c>
      <c r="G29" s="21" t="s">
        <v>60</v>
      </c>
      <c r="H29" s="10" t="s">
        <v>132</v>
      </c>
      <c r="I29" s="15" t="s">
        <v>133</v>
      </c>
      <c r="K29" s="15"/>
      <c r="M29" s="34" t="s">
        <v>134</v>
      </c>
    </row>
    <row r="30" ht="15.0" customHeight="1">
      <c r="A30" s="35">
        <v>4.0</v>
      </c>
      <c r="B30" s="14">
        <v>0.6208333333333333</v>
      </c>
      <c r="C30" s="16" t="s">
        <v>14</v>
      </c>
      <c r="D30" s="15" t="s">
        <v>76</v>
      </c>
      <c r="E30" s="9" t="s">
        <v>24</v>
      </c>
      <c r="F30" s="7" t="s">
        <v>135</v>
      </c>
      <c r="G30" s="21" t="s">
        <v>60</v>
      </c>
      <c r="H30" s="11" t="s">
        <v>136</v>
      </c>
      <c r="I30" s="7" t="s">
        <v>137</v>
      </c>
      <c r="J30" s="12"/>
      <c r="K30" s="7"/>
      <c r="L30" s="12"/>
      <c r="M30" s="12"/>
    </row>
    <row r="31" ht="15.0" customHeight="1">
      <c r="A31" s="36"/>
      <c r="B31" s="37" t="s">
        <v>138</v>
      </c>
      <c r="C31" s="36"/>
      <c r="D31" s="38" t="s">
        <v>118</v>
      </c>
      <c r="E31" s="39"/>
      <c r="F31" s="40"/>
      <c r="G31" s="36"/>
      <c r="H31" s="36"/>
      <c r="I31" s="36"/>
      <c r="J31" s="36"/>
      <c r="K31" s="40"/>
      <c r="L31" s="36"/>
      <c r="M31" s="36"/>
    </row>
    <row r="32" ht="15.0" customHeight="1">
      <c r="A32" s="36"/>
      <c r="B32" s="41"/>
      <c r="C32" s="36"/>
      <c r="D32" s="42"/>
      <c r="E32" s="39"/>
      <c r="F32" s="36"/>
      <c r="G32" s="36"/>
      <c r="H32" s="36"/>
      <c r="I32" s="36"/>
      <c r="J32" s="36"/>
      <c r="K32" s="36"/>
      <c r="L32" s="36"/>
      <c r="M32" s="36"/>
    </row>
    <row r="33" ht="15.0" customHeight="1">
      <c r="A33" s="12"/>
      <c r="B33" s="43"/>
      <c r="C33" s="12"/>
      <c r="D33" s="12"/>
      <c r="E33" s="44"/>
      <c r="F33" s="12"/>
      <c r="G33" s="12"/>
      <c r="H33" s="12"/>
      <c r="I33" s="12"/>
      <c r="J33" s="12"/>
      <c r="K33" s="12"/>
      <c r="L33" s="12"/>
      <c r="M33" s="12"/>
    </row>
    <row r="34" ht="15.0" customHeight="1">
      <c r="A34" s="12"/>
      <c r="B34" s="43"/>
      <c r="C34" s="12"/>
      <c r="E34" s="44"/>
      <c r="F34" s="12"/>
      <c r="G34" s="12"/>
      <c r="H34" s="12"/>
      <c r="I34" s="12"/>
      <c r="J34" s="12"/>
      <c r="K34" s="12"/>
      <c r="L34" s="12"/>
      <c r="M34" s="12"/>
    </row>
    <row r="35" ht="15.0" customHeight="1">
      <c r="A35" s="12"/>
      <c r="B35" s="43"/>
      <c r="C35" s="12"/>
      <c r="D35" s="12"/>
      <c r="E35" s="44"/>
      <c r="F35" s="12"/>
      <c r="G35" s="12"/>
      <c r="H35" s="12"/>
      <c r="I35" s="12"/>
      <c r="J35" s="12"/>
      <c r="K35" s="12"/>
      <c r="L35" s="12"/>
      <c r="M35" s="12"/>
    </row>
    <row r="36" ht="15.0" customHeight="1">
      <c r="A36" s="12"/>
      <c r="B36" s="43"/>
      <c r="C36" s="12"/>
      <c r="D36" s="12"/>
      <c r="E36" s="44"/>
      <c r="F36" s="12"/>
      <c r="G36" s="12"/>
      <c r="H36" s="12"/>
      <c r="I36" s="12"/>
      <c r="J36" s="12"/>
      <c r="K36" s="12"/>
      <c r="L36" s="12"/>
      <c r="M36" s="12"/>
    </row>
    <row r="37" ht="15.0" customHeight="1">
      <c r="A37" s="5" t="s">
        <v>139</v>
      </c>
    </row>
    <row r="38" ht="15.0" customHeight="1">
      <c r="A38" s="35">
        <v>1.0</v>
      </c>
      <c r="B38" s="45">
        <v>0.7083333333333334</v>
      </c>
      <c r="C38" s="16"/>
      <c r="D38" s="7" t="s">
        <v>111</v>
      </c>
      <c r="E38" s="9" t="s">
        <v>33</v>
      </c>
      <c r="F38" s="7" t="s">
        <v>112</v>
      </c>
      <c r="G38" s="7"/>
      <c r="H38" s="7" t="s">
        <v>113</v>
      </c>
      <c r="I38" s="7" t="s">
        <v>114</v>
      </c>
      <c r="J38" s="7" t="s">
        <v>115</v>
      </c>
      <c r="K38" s="7"/>
      <c r="L38" s="12"/>
      <c r="M38" s="7"/>
    </row>
    <row r="39" ht="15.0" customHeight="1">
      <c r="A39" s="35">
        <v>2.0</v>
      </c>
      <c r="B39" s="46" t="s">
        <v>140</v>
      </c>
      <c r="C39" s="16"/>
      <c r="D39" s="7" t="s">
        <v>141</v>
      </c>
      <c r="E39" s="9" t="s">
        <v>142</v>
      </c>
      <c r="F39" s="7" t="s">
        <v>143</v>
      </c>
      <c r="G39" s="7"/>
      <c r="H39" s="7"/>
      <c r="I39" s="13"/>
      <c r="J39" s="7"/>
      <c r="K39" s="7"/>
      <c r="L39" s="12"/>
      <c r="M39" s="7"/>
    </row>
    <row r="40" ht="15.0" customHeight="1">
      <c r="A40" s="35">
        <v>3.0</v>
      </c>
      <c r="B40" s="46" t="s">
        <v>144</v>
      </c>
      <c r="C40" s="16"/>
      <c r="D40" s="7" t="s">
        <v>52</v>
      </c>
      <c r="E40" s="9" t="s">
        <v>33</v>
      </c>
      <c r="F40" s="7" t="s">
        <v>145</v>
      </c>
      <c r="G40" s="7" t="s">
        <v>18</v>
      </c>
      <c r="H40" s="11" t="s">
        <v>54</v>
      </c>
      <c r="I40" s="7" t="s">
        <v>55</v>
      </c>
      <c r="J40" s="7" t="s">
        <v>56</v>
      </c>
      <c r="K40" s="7"/>
      <c r="L40" s="12"/>
      <c r="M40" s="12"/>
    </row>
    <row r="41" ht="15.0" customHeight="1">
      <c r="A41" s="35">
        <v>4.0</v>
      </c>
      <c r="B41" s="46" t="s">
        <v>146</v>
      </c>
      <c r="C41" s="16"/>
      <c r="D41" s="7" t="s">
        <v>147</v>
      </c>
      <c r="E41" s="9"/>
      <c r="F41" s="47" t="s">
        <v>148</v>
      </c>
      <c r="G41" s="7"/>
      <c r="H41" s="7"/>
      <c r="I41" s="7"/>
      <c r="J41" s="12"/>
      <c r="K41" s="7"/>
      <c r="L41" s="12"/>
      <c r="M41" s="12"/>
    </row>
    <row r="42" ht="15.0" customHeight="1">
      <c r="A42" s="35">
        <v>5.0</v>
      </c>
      <c r="B42" s="46" t="s">
        <v>149</v>
      </c>
      <c r="C42" s="16"/>
      <c r="D42" s="7"/>
      <c r="E42" s="9"/>
      <c r="F42" s="7"/>
      <c r="G42" s="7"/>
      <c r="H42" s="12"/>
      <c r="I42" s="12"/>
      <c r="J42" s="12"/>
      <c r="K42" s="7"/>
      <c r="L42" s="12"/>
      <c r="M42" s="12"/>
    </row>
    <row r="43" ht="15.0" customHeight="1">
      <c r="A43" s="35">
        <v>6.0</v>
      </c>
      <c r="B43" s="46" t="s">
        <v>150</v>
      </c>
      <c r="C43" s="16"/>
      <c r="D43" s="7" t="s">
        <v>151</v>
      </c>
      <c r="E43" s="9" t="s">
        <v>33</v>
      </c>
      <c r="F43" s="7" t="s">
        <v>152</v>
      </c>
      <c r="G43" s="7" t="s">
        <v>18</v>
      </c>
      <c r="H43" s="11" t="s">
        <v>153</v>
      </c>
      <c r="I43" s="7" t="s">
        <v>154</v>
      </c>
      <c r="J43" s="12"/>
      <c r="K43" s="7"/>
      <c r="L43" s="12"/>
      <c r="M43" s="12"/>
    </row>
    <row r="44" ht="15.0" customHeight="1">
      <c r="A44" s="35">
        <v>7.0</v>
      </c>
      <c r="B44" s="46" t="s">
        <v>155</v>
      </c>
      <c r="C44" s="16"/>
      <c r="D44" s="7" t="s">
        <v>156</v>
      </c>
      <c r="E44" s="9" t="s">
        <v>33</v>
      </c>
      <c r="F44" s="7" t="s">
        <v>157</v>
      </c>
      <c r="G44" s="7" t="s">
        <v>26</v>
      </c>
      <c r="H44" s="11" t="s">
        <v>158</v>
      </c>
      <c r="I44" s="15"/>
      <c r="J44" s="7"/>
      <c r="K44" s="7"/>
      <c r="L44" s="12"/>
      <c r="M44" s="12"/>
    </row>
    <row r="45" ht="15.0" customHeight="1">
      <c r="A45" s="35">
        <v>8.0</v>
      </c>
      <c r="B45" s="46" t="s">
        <v>159</v>
      </c>
      <c r="C45" s="16"/>
      <c r="D45" s="7" t="s">
        <v>160</v>
      </c>
      <c r="E45" s="9" t="s">
        <v>33</v>
      </c>
      <c r="F45" s="7" t="s">
        <v>161</v>
      </c>
      <c r="G45" s="7"/>
      <c r="H45" s="11" t="s">
        <v>162</v>
      </c>
      <c r="I45" s="7" t="s">
        <v>163</v>
      </c>
      <c r="J45" s="7" t="s">
        <v>164</v>
      </c>
      <c r="K45" s="7"/>
      <c r="L45" s="12"/>
      <c r="M45" s="12"/>
    </row>
    <row r="46" ht="15.0" customHeight="1">
      <c r="A46" s="35">
        <v>9.0</v>
      </c>
      <c r="B46" s="46" t="s">
        <v>165</v>
      </c>
      <c r="C46" s="16"/>
      <c r="D46" s="7" t="s">
        <v>166</v>
      </c>
      <c r="E46" s="9" t="s">
        <v>33</v>
      </c>
      <c r="F46" s="7" t="s">
        <v>167</v>
      </c>
      <c r="G46" s="7" t="s">
        <v>18</v>
      </c>
      <c r="H46" s="10" t="s">
        <v>168</v>
      </c>
      <c r="I46" s="7" t="s">
        <v>169</v>
      </c>
      <c r="J46" s="12"/>
      <c r="K46" s="7"/>
      <c r="L46" s="12"/>
      <c r="M46" s="12"/>
    </row>
    <row r="47" ht="15.0" customHeight="1">
      <c r="A47" s="35">
        <v>10.0</v>
      </c>
      <c r="B47" s="46" t="s">
        <v>170</v>
      </c>
      <c r="C47" s="32"/>
      <c r="D47" s="15" t="s">
        <v>171</v>
      </c>
      <c r="E47" s="9" t="s">
        <v>33</v>
      </c>
      <c r="F47" s="16" t="s">
        <v>34</v>
      </c>
      <c r="G47" s="7" t="s">
        <v>26</v>
      </c>
      <c r="H47" s="12"/>
      <c r="I47" s="12"/>
      <c r="J47" s="12"/>
      <c r="K47" s="12"/>
      <c r="L47" s="12"/>
      <c r="M47" s="12"/>
    </row>
    <row r="48" ht="15.0" customHeight="1">
      <c r="A48" s="35">
        <v>11.0</v>
      </c>
      <c r="B48" s="46" t="s">
        <v>172</v>
      </c>
      <c r="C48" s="16"/>
      <c r="D48" s="7" t="s">
        <v>32</v>
      </c>
      <c r="E48" s="9" t="s">
        <v>33</v>
      </c>
      <c r="F48" s="7" t="s">
        <v>173</v>
      </c>
      <c r="G48" s="7"/>
      <c r="H48" s="7"/>
      <c r="I48" s="7"/>
      <c r="J48" s="12"/>
      <c r="K48" s="7"/>
      <c r="L48" s="12"/>
      <c r="M48" s="12"/>
    </row>
    <row r="49" ht="15.0" customHeight="1">
      <c r="A49" s="35">
        <v>12.0</v>
      </c>
      <c r="B49" s="46" t="s">
        <v>174</v>
      </c>
      <c r="C49" s="16"/>
      <c r="D49" s="7" t="s">
        <v>175</v>
      </c>
      <c r="E49" s="9"/>
      <c r="F49" s="7" t="s">
        <v>176</v>
      </c>
      <c r="G49" s="15"/>
      <c r="H49" s="7"/>
      <c r="I49" s="15"/>
      <c r="J49" s="7"/>
      <c r="K49" s="7"/>
      <c r="L49" s="12"/>
      <c r="M49" s="12"/>
    </row>
    <row r="50" ht="15.0" customHeight="1">
      <c r="A50" s="35">
        <v>13.0</v>
      </c>
      <c r="B50" s="46" t="s">
        <v>177</v>
      </c>
      <c r="C50" s="32"/>
      <c r="D50" s="7"/>
      <c r="E50" s="9"/>
      <c r="F50" s="7"/>
      <c r="G50" s="7"/>
      <c r="H50" s="7"/>
      <c r="I50" s="7"/>
      <c r="J50" s="7"/>
      <c r="K50" s="7"/>
      <c r="L50" s="12"/>
      <c r="M50" s="12"/>
    </row>
    <row r="51" ht="15.0" customHeight="1">
      <c r="A51" s="48"/>
      <c r="B51" s="49"/>
      <c r="C51" s="48"/>
      <c r="D51" s="50" t="s">
        <v>178</v>
      </c>
      <c r="E51" s="48"/>
      <c r="F51" s="48"/>
      <c r="G51" s="48"/>
      <c r="H51" s="48"/>
      <c r="I51" s="48"/>
      <c r="J51" s="48"/>
      <c r="K51" s="48"/>
      <c r="L51" s="48"/>
      <c r="M51" s="48"/>
    </row>
    <row r="52" ht="15.0" customHeight="1">
      <c r="D52" s="15"/>
      <c r="E52" s="44"/>
      <c r="F52" s="15"/>
      <c r="H52" s="15"/>
      <c r="I52" s="15"/>
    </row>
    <row r="53" ht="15.0" customHeight="1">
      <c r="A53" s="51"/>
      <c r="B53" s="14"/>
      <c r="E53" s="44"/>
    </row>
    <row r="54" ht="15.0" customHeight="1">
      <c r="A54" s="13"/>
      <c r="K54" s="12"/>
      <c r="L54" s="12"/>
      <c r="M54" s="12"/>
    </row>
  </sheetData>
  <mergeCells count="6">
    <mergeCell ref="A2:M2"/>
    <mergeCell ref="A3:C3"/>
    <mergeCell ref="D3:J3"/>
    <mergeCell ref="A23:E23"/>
    <mergeCell ref="A25:M25"/>
    <mergeCell ref="A37:M37"/>
  </mergeCells>
  <hyperlinks>
    <hyperlink r:id="rId2" ref="H4"/>
    <hyperlink r:id="rId3" ref="K4"/>
    <hyperlink r:id="rId4" ref="H7"/>
    <hyperlink r:id="rId5" ref="K7"/>
    <hyperlink r:id="rId6" ref="M7"/>
    <hyperlink r:id="rId7" ref="H8"/>
    <hyperlink r:id="rId8" ref="K8"/>
    <hyperlink r:id="rId9" location=":h=專案報告@2015/4/18-無殼蝸牛黑客松" ref="H9"/>
    <hyperlink r:id="rId10" ref="K9"/>
    <hyperlink r:id="rId11" ref="H10"/>
    <hyperlink r:id="rId12" ref="K10"/>
    <hyperlink r:id="rId13" ref="H11"/>
    <hyperlink r:id="rId14" ref="K11"/>
    <hyperlink r:id="rId15" ref="M11"/>
    <hyperlink r:id="rId16" ref="H12"/>
    <hyperlink r:id="rId17" ref="K12"/>
    <hyperlink r:id="rId18" ref="H13"/>
    <hyperlink r:id="rId19" ref="K13"/>
    <hyperlink r:id="rId20" ref="H15"/>
    <hyperlink r:id="rId21" ref="H16"/>
    <hyperlink r:id="rId22" ref="K16"/>
    <hyperlink r:id="rId23" ref="K17"/>
    <hyperlink r:id="rId24" ref="M17"/>
    <hyperlink r:id="rId25" ref="H18"/>
    <hyperlink r:id="rId26" ref="K18"/>
    <hyperlink r:id="rId27" ref="H19"/>
    <hyperlink r:id="rId28" ref="K19"/>
    <hyperlink r:id="rId29" ref="K20"/>
    <hyperlink r:id="rId30" ref="H21"/>
    <hyperlink r:id="rId31" ref="K21"/>
    <hyperlink r:id="rId32" ref="K22"/>
    <hyperlink r:id="rId33" ref="M22"/>
    <hyperlink r:id="rId34" ref="H27"/>
    <hyperlink r:id="rId35" ref="M28"/>
    <hyperlink r:id="rId36" location="-" ref="H29"/>
    <hyperlink r:id="rId37" ref="H30"/>
    <hyperlink r:id="rId38" ref="H40"/>
    <hyperlink r:id="rId39" ref="H43"/>
    <hyperlink r:id="rId40" ref="H44"/>
    <hyperlink r:id="rId41" ref="H45"/>
    <hyperlink r:id="rId42" ref="H46"/>
  </hyperlinks>
  <drawing r:id="rId43"/>
  <legacy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9.75"/>
    <col customWidth="1" min="9" max="9" width="3.38"/>
    <col customWidth="1" min="10" max="22" width="9.75"/>
  </cols>
  <sheetData>
    <row r="1" ht="10.5" customHeight="1">
      <c r="B1" s="52">
        <v>107.0</v>
      </c>
      <c r="J1" s="52">
        <v>101.0</v>
      </c>
      <c r="Q1" s="53">
        <v>108.0</v>
      </c>
    </row>
    <row r="2" ht="39.0" customHeight="1">
      <c r="A2" s="43"/>
      <c r="B2" s="54" t="s">
        <v>179</v>
      </c>
      <c r="C2" s="55"/>
      <c r="D2" s="55"/>
      <c r="E2" s="55"/>
      <c r="F2" s="55"/>
      <c r="G2" s="56"/>
      <c r="H2" s="43"/>
      <c r="I2" s="43"/>
      <c r="J2" s="57" t="s">
        <v>180</v>
      </c>
      <c r="K2" s="55"/>
      <c r="L2" s="55"/>
      <c r="M2" s="55"/>
      <c r="N2" s="55"/>
      <c r="O2" s="43"/>
      <c r="P2" s="43"/>
      <c r="Q2" s="58" t="s">
        <v>181</v>
      </c>
      <c r="R2" s="43"/>
      <c r="S2" s="58" t="s">
        <v>180</v>
      </c>
      <c r="V2" s="43"/>
    </row>
    <row r="3" ht="39.0" customHeight="1">
      <c r="A3" s="59"/>
      <c r="B3" s="60"/>
      <c r="C3" s="60"/>
      <c r="D3" s="60"/>
      <c r="E3" s="60"/>
      <c r="F3" s="60"/>
      <c r="G3" s="61"/>
      <c r="H3" s="62"/>
      <c r="I3" s="59"/>
      <c r="J3" s="60"/>
      <c r="K3" s="60"/>
      <c r="L3" s="60"/>
      <c r="M3" s="60"/>
      <c r="N3" s="60"/>
      <c r="O3" s="62"/>
      <c r="P3" s="43"/>
      <c r="Q3" s="60"/>
      <c r="R3" s="60"/>
      <c r="S3" s="60"/>
      <c r="T3" s="60"/>
      <c r="U3" s="60"/>
      <c r="V3" s="43"/>
    </row>
    <row r="4" ht="39.0" customHeight="1">
      <c r="A4" s="59"/>
      <c r="B4" s="60"/>
      <c r="C4" s="60"/>
      <c r="D4" s="60"/>
      <c r="E4" s="60"/>
      <c r="F4" s="60"/>
      <c r="G4" s="63" t="s">
        <v>182</v>
      </c>
      <c r="H4" s="62"/>
      <c r="I4" s="59"/>
      <c r="J4" s="60"/>
      <c r="K4" s="60"/>
      <c r="L4" s="64"/>
      <c r="M4" s="65"/>
      <c r="N4" s="60"/>
      <c r="O4" s="62"/>
      <c r="P4" s="43"/>
      <c r="Q4" s="60"/>
      <c r="R4" s="60"/>
      <c r="S4" s="64"/>
      <c r="T4" s="65"/>
      <c r="U4" s="64" t="s">
        <v>183</v>
      </c>
      <c r="V4" s="43"/>
    </row>
    <row r="5" ht="39.0" customHeight="1">
      <c r="A5" s="59"/>
      <c r="B5" s="60"/>
      <c r="C5" s="60"/>
      <c r="D5" s="60"/>
      <c r="E5" s="60"/>
      <c r="F5" s="60"/>
      <c r="G5" s="60"/>
      <c r="H5" s="62"/>
      <c r="I5" s="59"/>
      <c r="J5" s="60"/>
      <c r="K5" s="60"/>
      <c r="L5" s="64" t="s">
        <v>184</v>
      </c>
      <c r="M5" s="60"/>
      <c r="N5" s="60"/>
      <c r="O5" s="62"/>
      <c r="P5" s="43"/>
      <c r="Q5" s="60"/>
      <c r="R5" s="60"/>
      <c r="S5" s="64"/>
      <c r="T5" s="60"/>
      <c r="U5" s="60"/>
      <c r="V5" s="43"/>
    </row>
    <row r="6" ht="39.0" customHeight="1">
      <c r="A6" s="59"/>
      <c r="B6" s="60"/>
      <c r="C6" s="60"/>
      <c r="D6" s="60"/>
      <c r="E6" s="65"/>
      <c r="F6" s="60"/>
      <c r="G6" s="61"/>
      <c r="H6" s="62"/>
      <c r="I6" s="59"/>
      <c r="J6" s="60"/>
      <c r="K6" s="60"/>
      <c r="L6" s="64" t="s">
        <v>184</v>
      </c>
      <c r="M6" s="60"/>
      <c r="N6" s="60"/>
      <c r="O6" s="62"/>
      <c r="P6" s="43"/>
      <c r="Q6" s="60"/>
      <c r="R6" s="60"/>
      <c r="S6" s="64"/>
      <c r="T6" s="60"/>
      <c r="U6" s="60"/>
      <c r="V6" s="43"/>
    </row>
    <row r="7" ht="39.0" customHeight="1">
      <c r="A7" s="59"/>
      <c r="B7" s="60"/>
      <c r="C7" s="66"/>
      <c r="D7" s="60"/>
      <c r="E7" s="60"/>
      <c r="F7" s="60"/>
      <c r="G7" s="63" t="s">
        <v>181</v>
      </c>
      <c r="H7" s="62"/>
      <c r="I7" s="59"/>
      <c r="J7" s="60"/>
      <c r="K7" s="60"/>
      <c r="L7" s="64" t="s">
        <v>184</v>
      </c>
      <c r="M7" s="60"/>
      <c r="N7" s="60"/>
      <c r="O7" s="62"/>
      <c r="P7" s="43"/>
      <c r="Q7" s="60"/>
      <c r="R7" s="60"/>
      <c r="S7" s="64"/>
      <c r="T7" s="60"/>
      <c r="U7" s="60"/>
      <c r="V7" s="43"/>
    </row>
    <row r="8" ht="39.0" customHeight="1">
      <c r="A8" s="59"/>
      <c r="B8" s="60"/>
      <c r="C8" s="67"/>
      <c r="D8" s="60"/>
      <c r="E8" s="60"/>
      <c r="F8" s="60"/>
      <c r="G8" s="60"/>
      <c r="H8" s="68"/>
      <c r="I8" s="69" t="s">
        <v>181</v>
      </c>
      <c r="J8" s="60"/>
      <c r="K8" s="60"/>
      <c r="L8" s="64" t="s">
        <v>184</v>
      </c>
      <c r="M8" s="60"/>
      <c r="N8" s="60"/>
      <c r="O8" s="62"/>
      <c r="P8" s="43"/>
      <c r="Q8" s="60"/>
      <c r="R8" s="60"/>
      <c r="S8" s="64" t="s">
        <v>145</v>
      </c>
      <c r="T8" s="60"/>
      <c r="U8" s="60"/>
      <c r="V8" s="43"/>
    </row>
    <row r="9" ht="39.0" customHeight="1">
      <c r="A9" s="59"/>
      <c r="B9" s="60"/>
      <c r="C9" s="60"/>
      <c r="D9" s="60"/>
      <c r="E9" s="60"/>
      <c r="F9" s="60"/>
      <c r="G9" s="60"/>
      <c r="H9" s="62"/>
      <c r="I9" s="59"/>
      <c r="J9" s="60"/>
      <c r="K9" s="60"/>
      <c r="L9" s="60"/>
      <c r="M9" s="60"/>
      <c r="N9" s="61"/>
      <c r="O9" s="62"/>
      <c r="P9" s="43"/>
      <c r="Q9" s="60"/>
      <c r="R9" s="60"/>
      <c r="S9" s="60"/>
      <c r="T9" s="60"/>
      <c r="U9" s="61"/>
      <c r="V9" s="43"/>
    </row>
    <row r="10" ht="39.0" customHeight="1">
      <c r="A10" s="43"/>
      <c r="B10" s="70"/>
      <c r="C10" s="70"/>
      <c r="D10" s="70"/>
      <c r="E10" s="70"/>
      <c r="F10" s="70"/>
      <c r="G10" s="70"/>
      <c r="H10" s="43"/>
      <c r="I10" s="43"/>
      <c r="J10" s="70"/>
      <c r="K10" s="70"/>
      <c r="L10" s="70"/>
      <c r="M10" s="70"/>
      <c r="N10" s="70"/>
      <c r="O10" s="43"/>
      <c r="P10" s="43"/>
      <c r="Q10" s="43"/>
      <c r="R10" s="43"/>
      <c r="S10" s="43"/>
      <c r="T10" s="43"/>
      <c r="U10" s="43"/>
      <c r="V10" s="43"/>
    </row>
    <row r="11" ht="39.0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</row>
    <row r="12" ht="39.0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</row>
    <row r="13" ht="39.0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</row>
    <row r="14" ht="39.0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</row>
    <row r="15" ht="39.0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</row>
    <row r="16" ht="39.0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</row>
    <row r="17" ht="39.0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</row>
    <row r="18" ht="39.0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</row>
    <row r="19" ht="39.0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</row>
    <row r="20" ht="39.0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</row>
    <row r="21" ht="39.0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</row>
    <row r="22" ht="39.0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</row>
    <row r="23" ht="39.0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</row>
    <row r="24" ht="39.0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</row>
    <row r="25" ht="39.0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</row>
    <row r="26" ht="39.0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</row>
    <row r="27" ht="39.0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</row>
    <row r="28" ht="39.0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</row>
    <row r="29" ht="39.0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</row>
    <row r="30" ht="39.0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</row>
    <row r="31" ht="39.0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</row>
    <row r="32" ht="39.0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</row>
    <row r="33" ht="39.0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</row>
    <row r="34" ht="39.0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</row>
    <row r="35" ht="39.0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</row>
    <row r="36" ht="39.0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</row>
    <row r="37" ht="39.0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</row>
    <row r="38" ht="39.0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</row>
    <row r="39" ht="39.0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</row>
    <row r="40" ht="39.0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</row>
    <row r="41" ht="39.0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</row>
    <row r="42" ht="39.0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</row>
    <row r="43" ht="39.0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</row>
    <row r="44" ht="39.0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</row>
    <row r="45" ht="39.0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</row>
    <row r="46" ht="39.0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</row>
    <row r="47" ht="39.0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</row>
    <row r="48" ht="39.0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</row>
    <row r="49" ht="39.0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</row>
    <row r="50" ht="39.0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</row>
    <row r="51" ht="39.0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</row>
    <row r="52" ht="39.0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</row>
    <row r="53" ht="39.0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</row>
    <row r="54" ht="39.0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</row>
    <row r="55" ht="39.0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</row>
    <row r="56" ht="39.0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</row>
    <row r="57" ht="39.0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</row>
    <row r="58" ht="39.0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</row>
    <row r="59" ht="39.0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</row>
    <row r="60" ht="39.0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</row>
    <row r="61" ht="39.0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</row>
    <row r="62" ht="39.0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</row>
    <row r="63" ht="39.0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</row>
    <row r="64" ht="39.0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</row>
    <row r="65" ht="39.0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</row>
    <row r="66" ht="39.0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</row>
    <row r="67" ht="39.0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</row>
    <row r="68" ht="39.0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</row>
    <row r="69" ht="39.0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</row>
    <row r="70" ht="39.0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</row>
    <row r="71" ht="39.0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</row>
    <row r="72" ht="39.0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</row>
    <row r="73" ht="39.0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</row>
    <row r="74" ht="39.0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</row>
    <row r="75" ht="39.0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</row>
    <row r="76" ht="39.0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</row>
    <row r="77" ht="39.0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</row>
    <row r="78" ht="39.0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</row>
    <row r="79" ht="39.0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</row>
    <row r="80" ht="39.0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</row>
    <row r="81" ht="39.0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</row>
    <row r="82" ht="39.0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</row>
    <row r="83" ht="39.0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</row>
    <row r="84" ht="39.0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</row>
    <row r="85" ht="39.0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</row>
    <row r="86" ht="39.0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</row>
    <row r="87" ht="39.0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</row>
    <row r="88" ht="39.0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</row>
    <row r="89" ht="39.0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</row>
    <row r="90" ht="39.0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</row>
    <row r="91" ht="39.0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</row>
    <row r="92" ht="39.0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</row>
    <row r="93" ht="39.0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</row>
    <row r="94" ht="39.0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</row>
    <row r="95" ht="39.0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</row>
    <row r="96" ht="39.0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</row>
    <row r="97" ht="39.0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</row>
    <row r="98" ht="39.0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</row>
    <row r="99" ht="39.0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</row>
    <row r="100" ht="39.0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</row>
    <row r="101" ht="39.0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</row>
  </sheetData>
  <mergeCells count="6">
    <mergeCell ref="B1:F1"/>
    <mergeCell ref="J1:N1"/>
    <mergeCell ref="Q1:U1"/>
    <mergeCell ref="B2:F2"/>
    <mergeCell ref="J2:N2"/>
    <mergeCell ref="S2:U2"/>
  </mergeCells>
  <drawing r:id="rId1"/>
</worksheet>
</file>